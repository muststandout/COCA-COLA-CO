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hidePivotFieldList="1"/>
  <mc:AlternateContent xmlns:mc="http://schemas.openxmlformats.org/markup-compatibility/2006">
    <mc:Choice Requires="x15">
      <x15ac:absPath xmlns:x15ac="http://schemas.microsoft.com/office/spreadsheetml/2010/11/ac" url="https://d.docs.live.net/C9096336C0F056AD/Documents/"/>
    </mc:Choice>
  </mc:AlternateContent>
  <xr:revisionPtr revIDLastSave="742" documentId="8_{133FBCC5-4D50-4BE8-B5D7-A6938D7213A3}" xr6:coauthVersionLast="47" xr6:coauthVersionMax="47" xr10:uidLastSave="{89D5D304-5FDF-4DE9-883C-BC7BC488C832}"/>
  <bookViews>
    <workbookView xWindow="-120" yWindow="-120" windowWidth="29040" windowHeight="15720" xr2:uid="{00000000-000D-0000-FFFF-FFFF00000000}"/>
  </bookViews>
  <sheets>
    <sheet name="COCA COLA CO" sheetId="1" r:id="rId1"/>
    <sheet name="Pivot Table 1(Viewing Only)" sheetId="5" r:id="rId2"/>
    <sheet name="Table Format" sheetId="2" r:id="rId3"/>
    <sheet name="Overall_Data" sheetId="7" r:id="rId4"/>
    <sheet name="Negative_Cash_Flow" sheetId="9" r:id="rId5"/>
    <sheet name="Main_Table" sheetId="6" r:id="rId6"/>
    <sheet name="Dashboard" sheetId="8" r:id="rId7"/>
  </sheets>
  <definedNames>
    <definedName name="Slicer_Statement_Type">#N/A</definedName>
    <definedName name="Slicer_Yea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6" l="1" a="1"/>
  <c r="D3" i="6" s="1"/>
  <c r="D4" i="6" a="1"/>
  <c r="D4" i="6" s="1"/>
  <c r="D5" i="6" a="1"/>
  <c r="D5" i="6" s="1"/>
  <c r="D6" i="6" a="1"/>
  <c r="D6" i="6"/>
  <c r="D7" i="6" a="1"/>
  <c r="D7" i="6" s="1"/>
  <c r="D8" i="6" a="1"/>
  <c r="D8" i="6" s="1"/>
  <c r="D9" i="6" a="1"/>
  <c r="D9" i="6" s="1"/>
  <c r="D10" i="6" a="1"/>
  <c r="D10" i="6" s="1"/>
  <c r="D11" i="6" a="1"/>
  <c r="D11" i="6" s="1"/>
  <c r="D2" i="6" a="1"/>
  <c r="D2" i="6" s="1"/>
  <c r="D23" i="6" a="1"/>
  <c r="D23" i="6" s="1"/>
  <c r="D24" i="6" a="1"/>
  <c r="D24" i="6" s="1"/>
  <c r="D25" i="6" a="1"/>
  <c r="D25" i="6" s="1"/>
  <c r="D26" i="6" a="1"/>
  <c r="D26" i="6" s="1"/>
  <c r="D27" i="6" a="1"/>
  <c r="D27" i="6" s="1"/>
  <c r="D28" i="6" a="1"/>
  <c r="D28" i="6" s="1"/>
  <c r="D29" i="6" a="1"/>
  <c r="D29" i="6" s="1"/>
  <c r="D30" i="6" a="1"/>
  <c r="D30" i="6" s="1"/>
  <c r="D31" i="6" a="1"/>
  <c r="D31" i="6" s="1"/>
  <c r="D22" i="6" a="1"/>
  <c r="D22" i="6" s="1"/>
  <c r="D533" i="2"/>
  <c r="D534" i="2"/>
  <c r="D535" i="2"/>
  <c r="D536" i="2"/>
  <c r="D537" i="2"/>
  <c r="D538" i="2"/>
  <c r="D539" i="2"/>
  <c r="D540" i="2"/>
  <c r="D541" i="2"/>
  <c r="D542" i="2"/>
  <c r="D543" i="2"/>
  <c r="D544" i="2"/>
  <c r="D545" i="2"/>
  <c r="D546" i="2"/>
  <c r="D547" i="2"/>
  <c r="D548" i="2"/>
  <c r="D549" i="2"/>
  <c r="D550" i="2"/>
  <c r="D551" i="2"/>
  <c r="D21" i="6" s="1" a="1"/>
  <c r="D21" i="6" s="1"/>
  <c r="D552" i="2"/>
  <c r="D553" i="2"/>
  <c r="D554" i="2"/>
  <c r="D555" i="2"/>
  <c r="D556" i="2"/>
  <c r="D557" i="2"/>
  <c r="D558" i="2"/>
  <c r="D559" i="2"/>
  <c r="D560" i="2"/>
  <c r="D561" i="2"/>
  <c r="D562" i="2"/>
  <c r="D563" i="2"/>
  <c r="D564" i="2"/>
  <c r="D565" i="2"/>
  <c r="D566" i="2"/>
  <c r="D567" i="2"/>
  <c r="D568" i="2"/>
  <c r="D569" i="2"/>
  <c r="D570" i="2"/>
  <c r="D571" i="2"/>
  <c r="D532" i="2"/>
  <c r="D13" i="6" a="1"/>
  <c r="D13" i="6" s="1"/>
  <c r="D14" i="6" a="1"/>
  <c r="D14" i="6" s="1"/>
  <c r="D15" i="6" a="1"/>
  <c r="D15" i="6" s="1"/>
  <c r="D16" i="6" a="1"/>
  <c r="D16" i="6" s="1"/>
  <c r="D17" i="6" a="1"/>
  <c r="D17" i="6" s="1"/>
  <c r="D18" i="6" a="1"/>
  <c r="D18" i="6" s="1"/>
  <c r="D19" i="6" a="1"/>
  <c r="D19" i="6" s="1"/>
  <c r="D20" i="6" a="1"/>
  <c r="D20" i="6" s="1"/>
  <c r="D12" i="6" a="1"/>
  <c r="D12" i="6" s="1"/>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896" i="2"/>
  <c r="D860" i="2"/>
  <c r="D824" i="2"/>
  <c r="D788" i="2"/>
  <c r="D752" i="2"/>
  <c r="D716" i="2"/>
  <c r="D680" i="2"/>
  <c r="D644" i="2"/>
  <c r="D608" i="2"/>
  <c r="D572"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<sst xmlns="http://schemas.openxmlformats.org/spreadsheetml/2006/main" count="3060" uniqueCount="120">
  <si>
    <t>Data provided by SimFin</t>
  </si>
  <si>
    <t>Profit &amp; Loss statement</t>
  </si>
  <si>
    <t>in million USD</t>
  </si>
  <si>
    <t>FY '09</t>
  </si>
  <si>
    <t>FY '10</t>
  </si>
  <si>
    <t>FY '11</t>
  </si>
  <si>
    <t>FY '12</t>
  </si>
  <si>
    <t>FY '13</t>
  </si>
  <si>
    <t>FY '14</t>
  </si>
  <si>
    <t>FY '15</t>
  </si>
  <si>
    <t>FY '16</t>
  </si>
  <si>
    <t>FY '17</t>
  </si>
  <si>
    <t>FY '18</t>
  </si>
  <si>
    <t>NET OPERATING REVENUES</t>
  </si>
  <si>
    <t>Cost of goods sold</t>
  </si>
  <si>
    <t>Gross Profit</t>
  </si>
  <si>
    <t>Selling, general and administrative expenses</t>
  </si>
  <si>
    <t>Other operating charges</t>
  </si>
  <si>
    <t>Operating Income</t>
  </si>
  <si>
    <t>Interest income</t>
  </si>
  <si>
    <t>Interest expense</t>
  </si>
  <si>
    <t>Equity income (loss) - net</t>
  </si>
  <si>
    <t>Other income (loss) - net</t>
  </si>
  <si>
    <t>Income before income taxes</t>
  </si>
  <si>
    <t>Income taxes</t>
  </si>
  <si>
    <t>CONSOLIDATED NET INCOME</t>
  </si>
  <si>
    <t>Less: Net income attributable to noncontrolling interests</t>
  </si>
  <si>
    <t>Net income from continuing operations</t>
  </si>
  <si>
    <t>Income (Loss) from Discontinued Operations, Net of Tax, Including Portion Attributable to Noncontrolling Interest</t>
  </si>
  <si>
    <t>NET INCOME ATTRIBUTABLE TO SHAREOWNERS OF THE COCA-COLA COMPANY</t>
  </si>
  <si>
    <t>Balance Sheet</t>
  </si>
  <si>
    <t>Assets</t>
  </si>
  <si>
    <t>Cash and cash equivalents</t>
  </si>
  <si>
    <t>Short-term investments</t>
  </si>
  <si>
    <t>Total cash, cash equivalents and short-term investments</t>
  </si>
  <si>
    <t>Marketable securities</t>
  </si>
  <si>
    <t>Trade accounts receivable, less allowances</t>
  </si>
  <si>
    <t>Inventories</t>
  </si>
  <si>
    <t>Prepaid expenses and other assets</t>
  </si>
  <si>
    <t>Assets held for sale</t>
  </si>
  <si>
    <t>Total current assets</t>
  </si>
  <si>
    <t>Equity method investments</t>
  </si>
  <si>
    <t>Other investments</t>
  </si>
  <si>
    <t>Other assets</t>
  </si>
  <si>
    <t>Property, plant and equipment - net</t>
  </si>
  <si>
    <t>Deferred income tax assets</t>
  </si>
  <si>
    <t>TRADEMARKS WITH INDEFINITE LIVES</t>
  </si>
  <si>
    <t>BOTTLERS' FRANCHISE RIGHTS WITH INDEFINITE LIVES</t>
  </si>
  <si>
    <t>Goodwill</t>
  </si>
  <si>
    <t>Other intangible assets</t>
  </si>
  <si>
    <t>Total assets</t>
  </si>
  <si>
    <t>Liabilities</t>
  </si>
  <si>
    <t>Accounts payable and accrued expenses</t>
  </si>
  <si>
    <t>Loans and notes payable</t>
  </si>
  <si>
    <t>Current maturities of long-term debt</t>
  </si>
  <si>
    <t>Accrued income taxes</t>
  </si>
  <si>
    <t>Liabilities held for sale</t>
  </si>
  <si>
    <t>Liabilities Held for Sale, Discontinued Operations</t>
  </si>
  <si>
    <t>Total current liabilities</t>
  </si>
  <si>
    <t>Long-term debt</t>
  </si>
  <si>
    <t>Other liabilities</t>
  </si>
  <si>
    <t>Deferred income taxes</t>
  </si>
  <si>
    <t>Common stock</t>
  </si>
  <si>
    <t>Capital surplus</t>
  </si>
  <si>
    <t>Reinvested earnings</t>
  </si>
  <si>
    <t>Accumulated other comprehensive income (loss)</t>
  </si>
  <si>
    <t>Treasury stock, at cost</t>
  </si>
  <si>
    <t>EQUITY ATTRIBUTABLE TO SHAREOWNERS OF THE COCA-COLA COMPANY</t>
  </si>
  <si>
    <t>Equity attributable to noncontrolling interests</t>
  </si>
  <si>
    <t>Total equity</t>
  </si>
  <si>
    <t>Total liabilities and equity</t>
  </si>
  <si>
    <t>Cash Flow statement</t>
  </si>
  <si>
    <t>Depreciation and amortization</t>
  </si>
  <si>
    <t>(Income) Loss from discontinued operations</t>
  </si>
  <si>
    <t>Stock-based compensation expense</t>
  </si>
  <si>
    <t>Equity (income) loss - net of dividends</t>
  </si>
  <si>
    <t>Foreign currency adjustments</t>
  </si>
  <si>
    <t>Significant (gains) losses on sales of assets - net</t>
  </si>
  <si>
    <t>Other significant (gains) losses - net</t>
  </si>
  <si>
    <t>Other items</t>
  </si>
  <si>
    <t>Net change in operating assets and liabilities</t>
  </si>
  <si>
    <t>Net cash provided by operating activities</t>
  </si>
  <si>
    <t>Purchases of short-term investments</t>
  </si>
  <si>
    <t>Purchases of investments</t>
  </si>
  <si>
    <t>Proceeds from disposals of investments</t>
  </si>
  <si>
    <t>Acquisitions of businesses, equity method investments and nonmarketable securities</t>
  </si>
  <si>
    <t>Proceeds from disposals of businesses, equity method investments and nonmarkatable securities</t>
  </si>
  <si>
    <t>Purchases of property, plant and equipment</t>
  </si>
  <si>
    <t>Proceeds from disposals of property, plant and equipment</t>
  </si>
  <si>
    <t>Other investing activities</t>
  </si>
  <si>
    <t>Net cash provided by (used in) investing activities</t>
  </si>
  <si>
    <t>Issuances of debt</t>
  </si>
  <si>
    <t>Payments of debt</t>
  </si>
  <si>
    <t>Issuances of stock</t>
  </si>
  <si>
    <t>Purchases of stock for treasury</t>
  </si>
  <si>
    <t>Dividends</t>
  </si>
  <si>
    <t>Other financing activities</t>
  </si>
  <si>
    <t>Net cash provided by (used in) financing activities</t>
  </si>
  <si>
    <t>Cash Provided by (Used in) Operating Activities, Discontinued Operations</t>
  </si>
  <si>
    <t>Effect of exchange rate changes on cash and cash equivalents</t>
  </si>
  <si>
    <t>Cash Provided by (Used in) Investing Activities, Discontinued Operations</t>
  </si>
  <si>
    <t>Cash Provided by (Used in) Financing Activities, Discontinued Operations</t>
  </si>
  <si>
    <t>Net Cash Provided by (Used in) Discontinued Operations</t>
  </si>
  <si>
    <t>Net increase (decrease) during the year</t>
  </si>
  <si>
    <t>Statement_Type</t>
  </si>
  <si>
    <t>Year</t>
  </si>
  <si>
    <t>Amount</t>
  </si>
  <si>
    <t>Metric</t>
  </si>
  <si>
    <t>Cash Flow Statement</t>
  </si>
  <si>
    <t>Profit &amp; Loss Statement</t>
  </si>
  <si>
    <t>Row Labels</t>
  </si>
  <si>
    <t>Grand Total</t>
  </si>
  <si>
    <t>Sum of Amount</t>
  </si>
  <si>
    <t>Statement_type</t>
  </si>
  <si>
    <t>Cash Flow System</t>
  </si>
  <si>
    <t>Xlookup</t>
  </si>
  <si>
    <t>Total Assets</t>
  </si>
  <si>
    <t>Price_Amount</t>
  </si>
  <si>
    <t>Sum of Price_Amount</t>
  </si>
  <si>
    <t>COCA-COLA Company Performance DASHBOARD (2009-2018)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</si>
</sst>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ont>
    <font>
      <b/>
      <sz val="11"/>
      <color rgb="FFFFFFFF"/>
      <name val="Calibri"/>
    </font>
    <font>
      <b/>
      <sz val="9"/>
      <color rgb="FFFFFFFF"/>
      <name val="Arial"/>
    </font>
    <font>
      <b/>
      <sz val="11"/>
      <color rgb="FF000000"/>
      <name val="Calibri"/>
    </font>
    <font>
      <sz val="11"/>
      <color theme="1"/>
      <name val="Calibri"/>
      <family val="2"/>
    </font>
    <font>
      <b/>
      <sz val="11"/>
      <color rgb="FF000000"/>
      <name val="Calibri"/>
      <family val="2"/>
    </font>
    <font>
      <sz val="11"/>
      <color rgb="FF000000"/>
      <name val="Calibri"/>
      <family val="2"/>
    </font>
    <font>
      <b/>
      <sz val="36"/>
      <color rgb="FF000000"/>
      <name val="Calibri"/>
      <family val="2"/>
    </font>
  </fonts>
  <fills count="4">
    <fill>
      <patternFill patternType="none"/>
    </fill>
    <fill>
      <patternFill patternType="gray125"/>
    </fill>
    <fill>
      <patternFill patternType="none"/>
    </fill>
    <fill>
      <patternFill patternType="solid">
        <fgColor rgb="FF3399FF"/>
        <bgColor rgb="FFFFFFFF"/>
      </patternFill>
    </fill>
  </fills>
  <borders count="17">
    <border>
      <left/>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34">
    <xf numFmtId="0" fontId="0" fillId="2" borderId="0" xfId="0" applyFill="1"/>
    <xf numFmtId="0" fontId="1" fillId="3" borderId="0" xfId="0" applyFont="1" applyFill="1"/>
    <xf numFmtId="0" fontId="2" fillId="3" borderId="0" xfId="0" applyFont="1" applyFill="1"/>
    <xf numFmtId="3" fontId="0" fillId="2" borderId="0" xfId="0" applyNumberFormat="1" applyFill="1"/>
    <xf numFmtId="0" fontId="3" fillId="2" borderId="1" xfId="0" applyFont="1" applyFill="1" applyBorder="1"/>
    <xf numFmtId="3" fontId="3" fillId="2" borderId="1" xfId="0" applyNumberFormat="1" applyFont="1" applyFill="1" applyBorder="1"/>
    <xf numFmtId="0" fontId="0" fillId="2" borderId="11" xfId="0" pivotButton="1" applyFill="1" applyBorder="1"/>
    <xf numFmtId="0" fontId="0" fillId="2" borderId="13" xfId="0" applyFill="1" applyBorder="1"/>
    <xf numFmtId="0" fontId="0" fillId="2" borderId="11" xfId="0" applyFill="1" applyBorder="1" applyAlignment="1">
      <alignment horizontal="left"/>
    </xf>
    <xf numFmtId="0" fontId="0" fillId="2" borderId="12" xfId="0" applyFill="1" applyBorder="1" applyAlignment="1">
      <alignment horizontal="left"/>
    </xf>
    <xf numFmtId="0" fontId="0" fillId="2" borderId="16" xfId="0" applyFill="1" applyBorder="1" applyAlignment="1">
      <alignment horizontal="left"/>
    </xf>
    <xf numFmtId="0" fontId="0" fillId="2" borderId="12" xfId="0" applyFill="1" applyBorder="1" applyAlignment="1">
      <alignment horizontal="left" indent="1"/>
    </xf>
    <xf numFmtId="0" fontId="6" fillId="2" borderId="0" xfId="0" applyFont="1" applyFill="1"/>
    <xf numFmtId="0" fontId="4" fillId="0" borderId="0" xfId="0" applyFont="1"/>
    <xf numFmtId="3" fontId="4" fillId="0" borderId="0" xfId="0" applyNumberFormat="1" applyFont="1"/>
    <xf numFmtId="0" fontId="6" fillId="0" borderId="0" xfId="0" applyFont="1"/>
    <xf numFmtId="3" fontId="6" fillId="0" borderId="0" xfId="0" applyNumberFormat="1" applyFont="1"/>
    <xf numFmtId="0" fontId="0" fillId="2" borderId="14" xfId="0" applyFill="1" applyBorder="1"/>
    <xf numFmtId="0" fontId="0" fillId="2" borderId="15" xfId="0" applyFill="1" applyBorder="1"/>
    <xf numFmtId="0" fontId="0" fillId="2" borderId="12" xfId="0" applyFill="1" applyBorder="1" applyAlignment="1">
      <alignment horizontal="left" indent="2"/>
    </xf>
    <xf numFmtId="0" fontId="6" fillId="2" borderId="1" xfId="0" applyFont="1" applyFill="1" applyBorder="1"/>
    <xf numFmtId="0" fontId="6" fillId="0" borderId="3" xfId="0" applyFont="1" applyBorder="1"/>
    <xf numFmtId="0" fontId="6" fillId="0" borderId="4" xfId="0" applyFont="1" applyBorder="1"/>
    <xf numFmtId="0" fontId="6" fillId="0" borderId="5" xfId="0" applyFont="1" applyBorder="1"/>
    <xf numFmtId="0" fontId="6" fillId="0" borderId="6" xfId="0" applyFont="1" applyBorder="1"/>
    <xf numFmtId="0" fontId="6" fillId="0" borderId="2" xfId="0" applyFont="1" applyBorder="1"/>
    <xf numFmtId="0" fontId="6" fillId="0" borderId="8" xfId="0" applyFont="1" applyBorder="1"/>
    <xf numFmtId="0" fontId="6" fillId="0" borderId="9" xfId="0" applyFont="1" applyBorder="1"/>
    <xf numFmtId="0" fontId="0" fillId="0" borderId="2" xfId="0" applyBorder="1"/>
    <xf numFmtId="0" fontId="0" fillId="0" borderId="7" xfId="0" applyBorder="1"/>
    <xf numFmtId="0" fontId="0" fillId="0" borderId="9" xfId="0" applyBorder="1"/>
    <xf numFmtId="0" fontId="0" fillId="0" borderId="10" xfId="0" applyBorder="1"/>
    <xf numFmtId="0" fontId="7" fillId="2" borderId="0" xfId="0" applyFont="1" applyFill="1" applyAlignment="1">
      <alignment horizontal="center"/>
    </xf>
    <xf numFmtId="0" fontId="5" fillId="2" borderId="0" xfId="0" applyFont="1" applyFill="1" applyAlignment="1">
      <alignment horizontal="center"/>
    </xf>
  </cellXfs>
  <cellStyles count="1">
    <cellStyle name="Normal" xfId="0" builtinId="0"/>
  </cellStyles>
  <dxfs count="18">
    <dxf>
      <fill>
        <patternFill patternType="none">
          <fgColor indexed="64"/>
          <bgColor indexed="65"/>
        </patternFill>
      </fill>
      <border diagonalUp="0" diagonalDown="0" outline="0">
        <left style="thin">
          <color indexed="64"/>
        </left>
        <right/>
        <top style="thin">
          <color indexed="64"/>
        </top>
        <bottom style="thin">
          <color indexed="64"/>
        </bottom>
      </border>
    </dxf>
    <dxf>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rgb="FF000000"/>
        <name val="Calibri"/>
        <family val="2"/>
        <scheme val="none"/>
      </font>
      <fill>
        <patternFill patternType="none">
          <fgColor indexed="64"/>
          <bgColor indexed="65"/>
        </patternFill>
      </fill>
    </dxf>
    <dxf>
      <font>
        <b val="0"/>
        <i val="0"/>
        <strike val="0"/>
        <condense val="0"/>
        <extend val="0"/>
        <outline val="0"/>
        <shadow val="0"/>
        <u val="none"/>
        <vertAlign val="baseline"/>
        <sz val="11"/>
        <color theme="1"/>
        <name val="Calibri"/>
        <family val="2"/>
        <scheme val="none"/>
      </font>
      <fill>
        <patternFill patternType="none">
          <fgColor indexed="64"/>
          <bgColor indexed="65"/>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[Cola.xlsx]Overall_Data!PivotTable4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Overall_Data!$B$3</c:f>
              <c:strCache>
                <c:ptCount val="1"/>
                <c:pt idx="0">
                  <c:v>Total</c:v>
                </c:pt>
              </c:strCache>
            </c:strRef>
          </c:tx>
          <c:spPr>
            <a:solidFill>
              <a:schemeClr val="accent1"/>
            </a:solidFill>
            <a:ln>
              <a:noFill/>
            </a:ln>
            <a:effectLst/>
          </c:spPr>
          <c:invertIfNegative val="0"/>
          <c:cat>
            <c:multiLvlStrRef>
              <c:f>Overall_Data!$A$4:$A$44</c:f>
              <c:multiLvlStrCache>
                <c:ptCount val="30"/>
                <c:lvl>
                  <c:pt idx="0">
                    <c:v>Balance Sheet</c:v>
                  </c:pt>
                  <c:pt idx="1">
                    <c:v>Cash Flow Statement</c:v>
                  </c:pt>
                  <c:pt idx="2">
                    <c:v>Profit &amp; Loss Statement</c:v>
                  </c:pt>
                  <c:pt idx="3">
                    <c:v>Balance Sheet</c:v>
                  </c:pt>
                  <c:pt idx="4">
                    <c:v>Cash Flow Statement</c:v>
                  </c:pt>
                  <c:pt idx="5">
                    <c:v>Profit &amp; Loss Statement</c:v>
                  </c:pt>
                  <c:pt idx="6">
                    <c:v>Balance Sheet</c:v>
                  </c:pt>
                  <c:pt idx="7">
                    <c:v>Cash Flow Statement</c:v>
                  </c:pt>
                  <c:pt idx="8">
                    <c:v>Profit &amp; Loss Statement</c:v>
                  </c:pt>
                  <c:pt idx="9">
                    <c:v>Balance Sheet</c:v>
                  </c:pt>
                  <c:pt idx="10">
                    <c:v>Cash Flow Statement</c:v>
                  </c:pt>
                  <c:pt idx="11">
                    <c:v>Profit &amp; Loss Statement</c:v>
                  </c:pt>
                  <c:pt idx="12">
                    <c:v>Balance Sheet</c:v>
                  </c:pt>
                  <c:pt idx="13">
                    <c:v>Cash Flow Statement</c:v>
                  </c:pt>
                  <c:pt idx="14">
                    <c:v>Profit &amp; Loss Statement</c:v>
                  </c:pt>
                  <c:pt idx="15">
                    <c:v>Balance Sheet</c:v>
                  </c:pt>
                  <c:pt idx="16">
                    <c:v>Cash Flow Statement</c:v>
                  </c:pt>
                  <c:pt idx="17">
                    <c:v>Profit &amp; Loss Statement</c:v>
                  </c:pt>
                  <c:pt idx="18">
                    <c:v>Balance Sheet</c:v>
                  </c:pt>
                  <c:pt idx="19">
                    <c:v>Cash Flow Statement</c:v>
                  </c:pt>
                  <c:pt idx="20">
                    <c:v>Profit &amp; Loss Statement</c:v>
                  </c:pt>
                  <c:pt idx="21">
                    <c:v>Balance Sheet</c:v>
                  </c:pt>
                  <c:pt idx="22">
                    <c:v>Cash Flow Statement</c:v>
                  </c:pt>
                  <c:pt idx="23">
                    <c:v>Profit &amp; Loss Statement</c:v>
                  </c:pt>
                  <c:pt idx="24">
                    <c:v>Balance Sheet</c:v>
                  </c:pt>
                  <c:pt idx="25">
                    <c:v>Cash Flow Statement</c:v>
                  </c:pt>
                  <c:pt idx="26">
                    <c:v>Profit &amp; Loss Statement</c:v>
                  </c:pt>
                  <c:pt idx="27">
                    <c:v>Balance Sheet</c:v>
                  </c:pt>
                  <c:pt idx="28">
                    <c:v>Cash Flow Statement</c:v>
                  </c:pt>
                  <c:pt idx="29">
                    <c:v>Profit &amp; Loss Statement</c:v>
                  </c:pt>
                </c:lvl>
                <c:lvl>
                  <c:pt idx="0">
                    <c:v>2009</c:v>
                  </c:pt>
                  <c:pt idx="3">
                    <c:v>2010</c:v>
                  </c:pt>
                  <c:pt idx="6">
                    <c:v>2011</c:v>
                  </c:pt>
                  <c:pt idx="9">
                    <c:v>2012</c:v>
                  </c:pt>
                  <c:pt idx="12">
                    <c:v>2013</c:v>
                  </c:pt>
                  <c:pt idx="15">
                    <c:v>2014</c:v>
                  </c:pt>
                  <c:pt idx="18">
                    <c:v>2015</c:v>
                  </c:pt>
                  <c:pt idx="21">
                    <c:v>2016</c:v>
                  </c:pt>
                  <c:pt idx="24">
                    <c:v>2017</c:v>
                  </c:pt>
                  <c:pt idx="27">
                    <c:v>2018</c:v>
                  </c:pt>
                </c:lvl>
              </c:multiLvlStrCache>
            </c:multiLvlStrRef>
          </c:cat>
          <c:val>
            <c:numRef>
              <c:f>Overall_Data!$B$4:$B$44</c:f>
              <c:numCache>
                <c:formatCode>General</c:formatCode>
                <c:ptCount val="30"/>
                <c:pt idx="0">
                  <c:v>48671</c:v>
                </c:pt>
                <c:pt idx="1">
                  <c:v>2320</c:v>
                </c:pt>
                <c:pt idx="2">
                  <c:v>6824</c:v>
                </c:pt>
                <c:pt idx="3">
                  <c:v>72921</c:v>
                </c:pt>
                <c:pt idx="4">
                  <c:v>1496</c:v>
                </c:pt>
                <c:pt idx="5">
                  <c:v>11787</c:v>
                </c:pt>
                <c:pt idx="6">
                  <c:v>79974</c:v>
                </c:pt>
                <c:pt idx="7">
                  <c:v>4286</c:v>
                </c:pt>
                <c:pt idx="8">
                  <c:v>8584</c:v>
                </c:pt>
                <c:pt idx="9">
                  <c:v>86174</c:v>
                </c:pt>
                <c:pt idx="10">
                  <c:v>-4361</c:v>
                </c:pt>
                <c:pt idx="11">
                  <c:v>9019</c:v>
                </c:pt>
                <c:pt idx="12">
                  <c:v>90055</c:v>
                </c:pt>
                <c:pt idx="13">
                  <c:v>1972</c:v>
                </c:pt>
                <c:pt idx="14">
                  <c:v>8584</c:v>
                </c:pt>
                <c:pt idx="15">
                  <c:v>92023</c:v>
                </c:pt>
                <c:pt idx="16">
                  <c:v>-1456</c:v>
                </c:pt>
                <c:pt idx="17">
                  <c:v>7098</c:v>
                </c:pt>
                <c:pt idx="18">
                  <c:v>89996</c:v>
                </c:pt>
                <c:pt idx="19">
                  <c:v>-1649</c:v>
                </c:pt>
                <c:pt idx="20">
                  <c:v>7351</c:v>
                </c:pt>
                <c:pt idx="21">
                  <c:v>87270</c:v>
                </c:pt>
                <c:pt idx="22">
                  <c:v>1246</c:v>
                </c:pt>
                <c:pt idx="23">
                  <c:v>6527</c:v>
                </c:pt>
                <c:pt idx="24">
                  <c:v>87896</c:v>
                </c:pt>
                <c:pt idx="25">
                  <c:v>-2477</c:v>
                </c:pt>
                <c:pt idx="26">
                  <c:v>1248</c:v>
                </c:pt>
                <c:pt idx="27">
                  <c:v>83216</c:v>
                </c:pt>
                <c:pt idx="28">
                  <c:v>2945</c:v>
                </c:pt>
                <c:pt idx="29">
                  <c:v>6434</c:v>
                </c:pt>
              </c:numCache>
            </c:numRef>
          </c:val>
          <c:extLst>
            <c:ext xmlns:c16="http://schemas.microsoft.com/office/drawing/2014/chart" uri="{C3380CC4-5D6E-409C-BE32-E72D297353CC}">
              <c16:uniqueId val="{00000000-06A6-4D3F-8FA9-635A7EC87C3E}"/>
            </c:ext>
          </c:extLst>
        </c:ser>
        <c:dLbls>
          <c:showLegendKey val="0"/>
          <c:showVal val="0"/>
          <c:showCatName val="0"/>
          <c:showSerName val="0"/>
          <c:showPercent val="0"/>
          <c:showBubbleSize val="0"/>
        </c:dLbls>
        <c:gapWidth val="219"/>
        <c:overlap val="-27"/>
        <c:axId val="1633488159"/>
        <c:axId val="1583500847"/>
      </c:barChart>
      <c:catAx>
        <c:axId val="16334881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500847"/>
        <c:crossesAt val="-20000"/>
        <c:auto val="1"/>
        <c:lblAlgn val="ctr"/>
        <c:lblOffset val="100"/>
        <c:noMultiLvlLbl val="0"/>
      </c:catAx>
      <c:valAx>
        <c:axId val="158350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8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[Cola.xlsx]Negative_Cash_Flow!PivotTable5</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Negative_CF_Years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Negative_Cash_Flow!$B$3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Negative_Cash_Flow!$A$4:$A$12</c:f>
              <c:multiLvlStrCache>
                <c:ptCount val="4"/>
                <c:lvl>
                  <c:pt idx="0">
                    <c:v>Cash Flow Statement</c:v>
                  </c:pt>
                  <c:pt idx="1">
                    <c:v>Cash Flow Statement</c:v>
                  </c:pt>
                  <c:pt idx="2">
                    <c:v>Cash Flow Statement</c:v>
                  </c:pt>
                  <c:pt idx="3">
                    <c:v>Cash Flow Statement</c:v>
                  </c:pt>
                </c:lvl>
                <c:lvl>
                  <c:pt idx="0">
                    <c:v>2012</c:v>
                  </c:pt>
                  <c:pt idx="1">
                    <c:v>2014</c:v>
                  </c:pt>
                  <c:pt idx="2">
                    <c:v>2015</c:v>
                  </c:pt>
                  <c:pt idx="3">
                    <c:v>2017</c:v>
                  </c:pt>
                </c:lvl>
              </c:multiLvlStrCache>
            </c:multiLvlStrRef>
          </c:cat>
          <c:val>
            <c:numRef>
              <c:f>Negative_Cash_Flow!$B$4:$B$12</c:f>
              <c:numCache>
                <c:formatCode>General</c:formatCode>
                <c:ptCount val="4"/>
                <c:pt idx="0">
                  <c:v>-4361</c:v>
                </c:pt>
                <c:pt idx="1">
                  <c:v>-1456</c:v>
                </c:pt>
                <c:pt idx="2">
                  <c:v>-1649</c:v>
                </c:pt>
                <c:pt idx="3">
                  <c:v>-2477</c:v>
                </c:pt>
              </c:numCache>
            </c:numRef>
          </c:val>
          <c:extLst>
            <c:ext xmlns:c16="http://schemas.microsoft.com/office/drawing/2014/chart" uri="{C3380CC4-5D6E-409C-BE32-E72D297353CC}">
              <c16:uniqueId val="{00000000-A056-4C2D-8168-BCCF2A8FC487}"/>
            </c:ext>
          </c:extLst>
        </c:ser>
        <c:dLbls>
          <c:dLblPos val="outEnd"/>
          <c:showLegendKey val="0"/>
          <c:showVal val="1"/>
          <c:showCatName val="0"/>
          <c:showSerName val="0"/>
          <c:showPercent val="0"/>
          <c:showBubbleSize val="0"/>
        </c:dLbls>
        <c:gapWidth val="100"/>
        <c:axId val="1560437119"/>
        <c:axId val="1583548847"/>
      </c:barChart>
      <c:catAx>
        <c:axId val="156043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83548847"/>
        <c:crossesAt val="0"/>
        <c:auto val="1"/>
        <c:lblAlgn val="ctr"/>
        <c:lblOffset val="100"/>
        <c:noMultiLvlLbl val="0"/>
      </c:catAx>
      <c:valAx>
        <c:axId val="1583548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USD In Millions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6043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[Cola.xlsx]Overall_Data!PivotTable4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Summarized_Peformance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Overall_Data!$B$3</c:f>
              <c:strCache>
                <c:ptCount val="1"/>
                <c:pt idx="0">
                  <c:v>Total</c:v>
                </c:pt>
              </c:strCache>
            </c:strRef>
          </c:tx>
          <c:spPr>
            <a:solidFill>
              <a:schemeClr val="accent1"/>
            </a:solidFill>
            <a:ln>
              <a:noFill/>
            </a:ln>
            <a:effectLst/>
          </c:spPr>
          <c:invertIfNegative val="0"/>
          <c:cat>
            <c:multiLvlStrRef>
              <c:f>Overall_Data!$A$4:$A$44</c:f>
              <c:multiLvlStrCache>
                <c:ptCount val="30"/>
                <c:lvl>
                  <c:pt idx="0">
                    <c:v>Balance Sheet</c:v>
                  </c:pt>
                  <c:pt idx="1">
                    <c:v>Cash Flow Statement</c:v>
                  </c:pt>
                  <c:pt idx="2">
                    <c:v>Profit &amp; Loss Statement</c:v>
                  </c:pt>
                  <c:pt idx="3">
                    <c:v>Balance Sheet</c:v>
                  </c:pt>
                  <c:pt idx="4">
                    <c:v>Cash Flow Statement</c:v>
                  </c:pt>
                  <c:pt idx="5">
                    <c:v>Profit &amp; Loss Statement</c:v>
                  </c:pt>
                  <c:pt idx="6">
                    <c:v>Balance Sheet</c:v>
                  </c:pt>
                  <c:pt idx="7">
                    <c:v>Cash Flow Statement</c:v>
                  </c:pt>
                  <c:pt idx="8">
                    <c:v>Profit &amp; Loss Statement</c:v>
                  </c:pt>
                  <c:pt idx="9">
                    <c:v>Balance Sheet</c:v>
                  </c:pt>
                  <c:pt idx="10">
                    <c:v>Cash Flow Statement</c:v>
                  </c:pt>
                  <c:pt idx="11">
                    <c:v>Profit &amp; Loss Statement</c:v>
                  </c:pt>
                  <c:pt idx="12">
                    <c:v>Balance Sheet</c:v>
                  </c:pt>
                  <c:pt idx="13">
                    <c:v>Cash Flow Statement</c:v>
                  </c:pt>
                  <c:pt idx="14">
                    <c:v>Profit &amp; Loss Statement</c:v>
                  </c:pt>
                  <c:pt idx="15">
                    <c:v>Balance Sheet</c:v>
                  </c:pt>
                  <c:pt idx="16">
                    <c:v>Cash Flow Statement</c:v>
                  </c:pt>
                  <c:pt idx="17">
                    <c:v>Profit &amp; Loss Statement</c:v>
                  </c:pt>
                  <c:pt idx="18">
                    <c:v>Balance Sheet</c:v>
                  </c:pt>
                  <c:pt idx="19">
                    <c:v>Cash Flow Statement</c:v>
                  </c:pt>
                  <c:pt idx="20">
                    <c:v>Profit &amp; Loss Statement</c:v>
                  </c:pt>
                  <c:pt idx="21">
                    <c:v>Balance Sheet</c:v>
                  </c:pt>
                  <c:pt idx="22">
                    <c:v>Cash Flow Statement</c:v>
                  </c:pt>
                  <c:pt idx="23">
                    <c:v>Profit &amp; Loss Statement</c:v>
                  </c:pt>
                  <c:pt idx="24">
                    <c:v>Balance Sheet</c:v>
                  </c:pt>
                  <c:pt idx="25">
                    <c:v>Cash Flow Statement</c:v>
                  </c:pt>
                  <c:pt idx="26">
                    <c:v>Profit &amp; Loss Statement</c:v>
                  </c:pt>
                  <c:pt idx="27">
                    <c:v>Balance Sheet</c:v>
                  </c:pt>
                  <c:pt idx="28">
                    <c:v>Cash Flow Statement</c:v>
                  </c:pt>
                  <c:pt idx="29">
                    <c:v>Profit &amp; Loss Statement</c:v>
                  </c:pt>
                </c:lvl>
                <c:lvl>
                  <c:pt idx="0">
                    <c:v>2009</c:v>
                  </c:pt>
                  <c:pt idx="3">
                    <c:v>2010</c:v>
                  </c:pt>
                  <c:pt idx="6">
                    <c:v>2011</c:v>
                  </c:pt>
                  <c:pt idx="9">
                    <c:v>2012</c:v>
                  </c:pt>
                  <c:pt idx="12">
                    <c:v>2013</c:v>
                  </c:pt>
                  <c:pt idx="15">
                    <c:v>2014</c:v>
                  </c:pt>
                  <c:pt idx="18">
                    <c:v>2015</c:v>
                  </c:pt>
                  <c:pt idx="21">
                    <c:v>2016</c:v>
                  </c:pt>
                  <c:pt idx="24">
                    <c:v>2017</c:v>
                  </c:pt>
                  <c:pt idx="27">
                    <c:v>2018</c:v>
                  </c:pt>
                </c:lvl>
              </c:multiLvlStrCache>
            </c:multiLvlStrRef>
          </c:cat>
          <c:val>
            <c:numRef>
              <c:f>Overall_Data!$B$4:$B$44</c:f>
              <c:numCache>
                <c:formatCode>General</c:formatCode>
                <c:ptCount val="30"/>
                <c:pt idx="0">
                  <c:v>48671</c:v>
                </c:pt>
                <c:pt idx="1">
                  <c:v>2320</c:v>
                </c:pt>
                <c:pt idx="2">
                  <c:v>6824</c:v>
                </c:pt>
                <c:pt idx="3">
                  <c:v>72921</c:v>
                </c:pt>
                <c:pt idx="4">
                  <c:v>1496</c:v>
                </c:pt>
                <c:pt idx="5">
                  <c:v>11787</c:v>
                </c:pt>
                <c:pt idx="6">
                  <c:v>79974</c:v>
                </c:pt>
                <c:pt idx="7">
                  <c:v>4286</c:v>
                </c:pt>
                <c:pt idx="8">
                  <c:v>8584</c:v>
                </c:pt>
                <c:pt idx="9">
                  <c:v>86174</c:v>
                </c:pt>
                <c:pt idx="10">
                  <c:v>-4361</c:v>
                </c:pt>
                <c:pt idx="11">
                  <c:v>9019</c:v>
                </c:pt>
                <c:pt idx="12">
                  <c:v>90055</c:v>
                </c:pt>
                <c:pt idx="13">
                  <c:v>1972</c:v>
                </c:pt>
                <c:pt idx="14">
                  <c:v>8584</c:v>
                </c:pt>
                <c:pt idx="15">
                  <c:v>92023</c:v>
                </c:pt>
                <c:pt idx="16">
                  <c:v>-1456</c:v>
                </c:pt>
                <c:pt idx="17">
                  <c:v>7098</c:v>
                </c:pt>
                <c:pt idx="18">
                  <c:v>89996</c:v>
                </c:pt>
                <c:pt idx="19">
                  <c:v>-1649</c:v>
                </c:pt>
                <c:pt idx="20">
                  <c:v>7351</c:v>
                </c:pt>
                <c:pt idx="21">
                  <c:v>87270</c:v>
                </c:pt>
                <c:pt idx="22">
                  <c:v>1246</c:v>
                </c:pt>
                <c:pt idx="23">
                  <c:v>6527</c:v>
                </c:pt>
                <c:pt idx="24">
                  <c:v>87896</c:v>
                </c:pt>
                <c:pt idx="25">
                  <c:v>-2477</c:v>
                </c:pt>
                <c:pt idx="26">
                  <c:v>1248</c:v>
                </c:pt>
                <c:pt idx="27">
                  <c:v>83216</c:v>
                </c:pt>
                <c:pt idx="28">
                  <c:v>2945</c:v>
                </c:pt>
                <c:pt idx="29">
                  <c:v>6434</c:v>
                </c:pt>
              </c:numCache>
            </c:numRef>
          </c:val>
          <c:extLst>
            <c:ext xmlns:c16="http://schemas.microsoft.com/office/drawing/2014/chart" uri="{C3380CC4-5D6E-409C-BE32-E72D297353CC}">
              <c16:uniqueId val="{00000000-2591-4016-84BC-5799497CEFFF}"/>
            </c:ext>
          </c:extLst>
        </c:ser>
        <c:dLbls>
          <c:showLegendKey val="0"/>
          <c:showVal val="0"/>
          <c:showCatName val="0"/>
          <c:showSerName val="0"/>
          <c:showPercent val="0"/>
          <c:showBubbleSize val="0"/>
        </c:dLbls>
        <c:gapWidth val="219"/>
        <c:overlap val="-27"/>
        <c:axId val="1633488159"/>
        <c:axId val="1583500847"/>
      </c:barChart>
      <c:catAx>
        <c:axId val="16334881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500847"/>
        <c:crossesAt val="-20000"/>
        <c:auto val="1"/>
        <c:lblAlgn val="ctr"/>
        <c:lblOffset val="100"/>
        <c:noMultiLvlLbl val="0"/>
      </c:catAx>
      <c:valAx>
        <c:axId val="1583500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r>
                  <a:rPr lang="en-US" baseline="0"/>
                  <a:t> In Millions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48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[Cola.xlsx]Negative_Cash_Flow!PivotTable5</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Negative_CF_Years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Negative_Cash_Flow!$B$3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Negative_Cash_Flow!$A$4:$A$12</c:f>
              <c:multiLvlStrCache>
                <c:ptCount val="4"/>
                <c:lvl>
                  <c:pt idx="0">
                    <c:v>Cash Flow Statement</c:v>
                  </c:pt>
                  <c:pt idx="1">
                    <c:v>Cash Flow Statement</c:v>
                  </c:pt>
                  <c:pt idx="2">
                    <c:v>Cash Flow Statement</c:v>
                  </c:pt>
                  <c:pt idx="3">
                    <c:v>Cash Flow Statement</c:v>
                  </c:pt>
                </c:lvl>
                <c:lvl>
                  <c:pt idx="0">
                    <c:v>2012</c:v>
                  </c:pt>
                  <c:pt idx="1">
                    <c:v>2014</c:v>
                  </c:pt>
                  <c:pt idx="2">
                    <c:v>2015</c:v>
                  </c:pt>
                  <c:pt idx="3">
                    <c:v>2017</c:v>
                  </c:pt>
                </c:lvl>
              </c:multiLvlStrCache>
            </c:multiLvlStrRef>
          </c:cat>
          <c:val>
            <c:numRef>
              <c:f>Negative_Cash_Flow!$B$4:$B$12</c:f>
              <c:numCache>
                <c:formatCode>General</c:formatCode>
                <c:ptCount val="4"/>
                <c:pt idx="0">
                  <c:v>-4361</c:v>
                </c:pt>
                <c:pt idx="1">
                  <c:v>-1456</c:v>
                </c:pt>
                <c:pt idx="2">
                  <c:v>-1649</c:v>
                </c:pt>
                <c:pt idx="3">
                  <c:v>-2477</c:v>
                </c:pt>
              </c:numCache>
            </c:numRef>
          </c:val>
          <c:extLst>
            <c:ext xmlns:c16="http://schemas.microsoft.com/office/drawing/2014/chart" uri="{C3380CC4-5D6E-409C-BE32-E72D297353CC}">
              <c16:uniqueId val="{00000000-32A9-40BD-AABA-A282BBE5CD2D}"/>
            </c:ext>
          </c:extLst>
        </c:ser>
        <c:dLbls>
          <c:dLblPos val="outEnd"/>
          <c:showLegendKey val="0"/>
          <c:showVal val="1"/>
          <c:showCatName val="0"/>
          <c:showSerName val="0"/>
          <c:showPercent val="0"/>
          <c:showBubbleSize val="0"/>
        </c:dLbls>
        <c:gapWidth val="100"/>
        <c:axId val="1560437119"/>
        <c:axId val="1583548847"/>
      </c:barChart>
      <c:catAx>
        <c:axId val="1560437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83548847"/>
        <c:crossesAt val="0"/>
        <c:auto val="1"/>
        <c:lblAlgn val="ctr"/>
        <c:lblOffset val="100"/>
        <c:noMultiLvlLbl val="0"/>
      </c:catAx>
      <c:valAx>
        <c:axId val="1583548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USD In Millions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60437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16</xdr:col>
      <xdr:colOff>390525</xdr:colOff>
      <xdr:row>35</xdr:row>
      <xdr:rowOff>66674</xdr:rowOff>
    </xdr:to>
    <xdr:graphicFrame macro="">
      <xdr:nvGraphicFramePr>
        <xdr:cNvPr id="2" name="Chart 1">
          <a:extLst>
            <a:ext uri="{FF2B5EF4-FFF2-40B4-BE49-F238E27FC236}">
              <a16:creationId xmlns:a16="http://schemas.microsoft.com/office/drawing/2014/main" id="{A0D79ABE-D1CA-AB5F-09E4-1ABFEC407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0</xdr:rowOff>
    </xdr:from>
    <xdr:to>
      <xdr:col>16</xdr:col>
      <xdr:colOff>609599</xdr:colOff>
      <xdr:row>30</xdr:row>
      <xdr:rowOff>0</xdr:rowOff>
    </xdr:to>
    <xdr:graphicFrame macro="">
      <xdr:nvGraphicFramePr>
        <xdr:cNvPr id="2" name="Chart 1">
          <a:extLst>
            <a:ext uri="{FF2B5EF4-FFF2-40B4-BE49-F238E27FC236}">
              <a16:creationId xmlns:a16="http://schemas.microsoft.com/office/drawing/2014/main" id="{58EC6235-32A4-D6E9-98D6-189E8E2D2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15</xdr:col>
      <xdr:colOff>0</xdr:colOff>
      <xdr:row>36</xdr:row>
      <xdr:rowOff>0</xdr:rowOff>
    </xdr:to>
    <xdr:graphicFrame macro="">
      <xdr:nvGraphicFramePr>
        <xdr:cNvPr id="3" name="Chart 2">
          <a:extLst>
            <a:ext uri="{FF2B5EF4-FFF2-40B4-BE49-F238E27FC236}">
              <a16:creationId xmlns:a16="http://schemas.microsoft.com/office/drawing/2014/main" id="{6DF9AAF4-3CEA-4F48-9047-E460532E9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28575</xdr:colOff>
      <xdr:row>27</xdr:row>
      <xdr:rowOff>19050</xdr:rowOff>
    </xdr:from>
    <xdr:to>
      <xdr:col>25</xdr:col>
      <xdr:colOff>28575</xdr:colOff>
      <xdr:row>36</xdr:row>
      <xdr:rowOff>19050</xdr:rowOff>
    </xdr:to>
    <mc:AlternateContent xmlns:mc="http://schemas.openxmlformats.org/markup-compatibility/2006" xmlns:a14="http://schemas.microsoft.com/office/drawing/2010/main">
      <mc:Choice Requires="a14">
        <xdr:graphicFrame macro="">
          <xdr:nvGraphicFramePr>
            <xdr:cNvPr id="4" name="Statement_Type">
              <a:extLst>
                <a:ext uri="{FF2B5EF4-FFF2-40B4-BE49-F238E27FC236}">
                  <a16:creationId xmlns:a16="http://schemas.microsoft.com/office/drawing/2014/main" id="{E9A454EC-2417-80D9-D212-85157815D70A}"/>
                </a:ext>
              </a:extLst>
            </xdr:cNvPr>
            <xdr:cNvGraphicFramePr/>
          </xdr:nvGraphicFramePr>
          <xdr:xfrm>
            <a:off x="0" y="0"/>
            <a:ext cx="0" cy="0"/>
          </xdr:xfrm>
          <a:graphic>
            <a:graphicData uri="http://schemas.microsoft.com/office/drawing/2010/slicer">
              <sle:slicer xmlns:sle="http://schemas.microsoft.com/office/drawing/2010/slicer" name="Statement_Type"/>
            </a:graphicData>
          </a:graphic>
        </xdr:graphicFrame>
      </mc:Choice>
      <mc:Fallback xmlns="">
        <xdr:sp macro="" textlink="">
          <xdr:nvSpPr>
            <xdr:cNvPr id="0" name=""/>
            <xdr:cNvSpPr>
              <a:spLocks noTextEdit="1"/>
            </xdr:cNvSpPr>
          </xdr:nvSpPr>
          <xdr:spPr>
            <a:xfrm>
              <a:off x="13439775" y="5162550"/>
              <a:ext cx="18288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27</xdr:row>
      <xdr:rowOff>28575</xdr:rowOff>
    </xdr:from>
    <xdr:to>
      <xdr:col>22</xdr:col>
      <xdr:colOff>9525</xdr:colOff>
      <xdr:row>36</xdr:row>
      <xdr:rowOff>19050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000DE13C-7DC9-4E04-DDEB-0346706FC02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153525" y="5172075"/>
              <a:ext cx="426720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9525</xdr:colOff>
      <xdr:row>4</xdr:row>
      <xdr:rowOff>0</xdr:rowOff>
    </xdr:from>
    <xdr:to>
      <xdr:col>25</xdr:col>
      <xdr:colOff>9525</xdr:colOff>
      <xdr:row>27</xdr:row>
      <xdr:rowOff>9525</xdr:rowOff>
    </xdr:to>
    <xdr:graphicFrame macro="">
      <xdr:nvGraphicFramePr>
        <xdr:cNvPr id="6" name="Chart 5">
          <a:extLst>
            <a:ext uri="{FF2B5EF4-FFF2-40B4-BE49-F238E27FC236}">
              <a16:creationId xmlns:a16="http://schemas.microsoft.com/office/drawing/2014/main" id="{A3540D43-6F8C-47EE-BD71-0C012E63D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chen" refreshedDate="46261.494203240742" createdVersion="8" refreshedVersion="8" minRefreshableVersion="3" recordCount="930" xr:uid="{D0F08D00-FB69-4C87-850D-6A8C41A99904}">
  <cacheSource type="worksheet">
    <worksheetSource name="Table3"/>
  </cacheSource>
  <cacheFields count="4">
    <cacheField name="Statement_type" numFmtId="0">
      <sharedItems count="3">
        <s v="Profit &amp; Loss Statement"/>
        <s v="Balance Sheet"/>
        <s v="Cash Flow System"/>
      </sharedItems>
    </cacheField>
    <cacheField name="Metric" numFmtId="0">
      <sharedItems count="88">
        <s v="NET OPERATING REVENUES"/>
        <s v="Cost of goods sold"/>
        <s v="Gross Profit"/>
        <s v="Selling, general and administrative expenses"/>
        <s v="Other operating charges"/>
        <s v="Operating Income"/>
        <s v="Interest income"/>
        <s v="Interest expense"/>
        <s v="Equity income (loss) - net"/>
        <s v="Other income (loss) - net"/>
        <s v="Income before income taxes"/>
        <s v="Income taxes"/>
        <s v="CONSOLIDATED NET INCOME"/>
        <s v="Less: Net income attributable to noncontrolling interests"/>
        <s v="Net income from continuing operations"/>
        <s v="Income (Loss) from Discontinued Operations, Net of Tax, Including Portion Attributable to Noncontrolling Interest"/>
        <s v="NET INCOME ATTRIBUTABLE TO SHAREOWNERS OF THE COCA-COLA COMPANY"/>
        <s v="Cash and cash equivalents"/>
        <s v="Short-term investments"/>
        <s v="Total cash, cash equivalents and short-term investments"/>
        <s v="Marketable securities"/>
        <s v="Trade accounts receivable, less allowances"/>
        <s v="Inventories"/>
        <s v="Prepaid expenses and other assets"/>
        <s v="Assets held for sale"/>
        <s v="Total current assets"/>
        <s v="Equity method investments"/>
        <s v="Other investments"/>
        <s v="Other assets"/>
        <s v="Property, plant and equipment - net"/>
        <s v="Deferred income tax assets"/>
        <s v="TRADEMARKS WITH INDEFINITE LIVES"/>
        <s v="BOTTLERS' FRANCHISE RIGHTS WITH INDEFINITE LIVES"/>
        <s v="Goodwill"/>
        <s v="Other intangible assets"/>
        <s v="Total assets"/>
        <s v="Liabilities"/>
        <s v="Accounts payable and accrued expenses"/>
        <s v="Loans and notes payable"/>
        <s v="Current maturities of long-term debt"/>
        <s v="Accrued income taxes"/>
        <s v="Liabilities held for sale"/>
        <s v="Liabilities Held for Sale, Discontinued Operations"/>
        <s v="Total current liabilities"/>
        <s v="Long-term debt"/>
        <s v="Other liabilities"/>
        <s v="Deferred income taxes"/>
        <s v="Common stock"/>
        <s v="Capital surplus"/>
        <s v="Reinvested earnings"/>
        <s v="Accumulated other comprehensive income (loss)"/>
        <s v="Treasury stock, at cost"/>
        <s v="EQUITY ATTRIBUTABLE TO SHAREOWNERS OF THE COCA-COLA COMPANY"/>
        <s v="Equity attributable to noncontrolling interests"/>
        <s v="Total equity"/>
        <s v="Total liabilities and equity"/>
        <s v="Depreciation and amortization"/>
        <s v="(Income) Loss from discontinued operations"/>
        <s v="Stock-based compensation expense"/>
        <s v="Equity (income) loss - net of dividends"/>
        <s v="Foreign currency adjustments"/>
        <s v="Significant (gains) losses on sales of assets - net"/>
        <s v="Other significant (gains) losses - net"/>
        <s v="Other items"/>
        <s v="Net change in operating assets and liabilities"/>
        <s v="Net cash provided by operating activities"/>
        <s v="Purchases of short-term investments"/>
        <s v="Purchases of investments"/>
        <s v="Proceeds from disposals of investments"/>
        <s v="Acquisitions of businesses, equity method investments and nonmarketable securities"/>
        <s v="Proceeds from disposals of businesses, equity method investments and nonmarkatable securities"/>
        <s v="Purchases of property, plant and equipment"/>
        <s v="Proceeds from disposals of property, plant and equipment"/>
        <s v="Other investing activities"/>
        <s v="Net cash provided by (used in) investing activities"/>
        <s v="Issuances of debt"/>
        <s v="Payments of debt"/>
        <s v="Issuances of stock"/>
        <s v="Purchases of stock for treasury"/>
        <s v="Dividends"/>
        <s v="Other financing activities"/>
        <s v="Net cash provided by (used in) financing activities"/>
        <s v="Cash Provided by (Used in) Operating Activities, Discontinued Operations"/>
        <s v="Effect of exchange rate changes on cash and cash equivalents"/>
        <s v="Cash Provided by (Used in) Investing Activities, Discontinued Operations"/>
        <s v="Cash Provided by (Used in) Financing Activities, Discontinued Operations"/>
        <s v="Net Cash Provided by (Used in) Discontinued Operations"/>
        <s v="Net increase (decrease) during the year"/>
      </sharedItems>
    </cacheField>
    <cacheField name="Year" numFmtId="0">
      <sharedItems containsSemiMixedTypes="0" containsString="0" containsNumber="1" containsInteger="1" minValue="2009" maxValue="2018" count="10">
        <n v="2009"/>
        <n v="2010"/>
        <n v="2011"/>
        <n v="2012"/>
        <n v="2013"/>
        <n v="2014"/>
        <n v="2015"/>
        <n v="2016"/>
        <n v="2017"/>
        <n v="2018"/>
      </sharedItems>
    </cacheField>
    <cacheField name="Amount" numFmtId="3">
      <sharedItems containsSemiMixedTypes="0" containsString="0" containsNumber="1" containsInteger="1" minValue="-51719" maxValue="9202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chen" refreshedDate="46261.570535069448" createdVersion="8" refreshedVersion="8" minRefreshableVersion="3" recordCount="30" xr:uid="{ECC219DF-CAB8-4009-96A7-633BF13CBEEE}">
  <cacheSource type="worksheet">
    <worksheetSource name="Table4"/>
  </cacheSource>
  <cacheFields count="4">
    <cacheField name="Statement_Type" numFmtId="0">
      <sharedItems count="3">
        <s v="Profit &amp; Loss Statement"/>
        <s v="Balance Sheet"/>
        <s v="Cash Flow Statement"/>
      </sharedItems>
    </cacheField>
    <cacheField name="Metric" numFmtId="0">
      <sharedItems/>
    </cacheField>
    <cacheField name="Year" numFmtId="0">
      <sharedItems containsSemiMixedTypes="0" containsString="0" containsNumber="1" containsInteger="1" minValue="2009" maxValue="2018" count="10">
        <n v="2009"/>
        <n v="2010"/>
        <n v="2011"/>
        <n v="2012"/>
        <n v="2013"/>
        <n v="2014"/>
        <n v="2015"/>
        <n v="2016"/>
        <n v="2017"/>
        <n v="2018"/>
      </sharedItems>
    </cacheField>
    <cacheField name="Price_Amount" numFmtId="0">
      <sharedItems containsSemiMixedTypes="0" containsString="0" containsNumber="1" containsInteger="1" minValue="-4361" maxValue="92023"/>
    </cacheField>
  </cacheFields>
  <extLst>
    <ext xmlns:x14="http://schemas.microsoft.com/office/spreadsheetml/2009/9/main" uri="{725AE2AE-9491-48be-B2B4-4EB974FC3084}">
      <x14:pivotCacheDefinition pivotCacheId="1483218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0">
  <r>
    <x v="0"/>
    <x v="0"/>
    <x v="0"/>
    <n v="30990"/>
  </r>
  <r>
    <x v="0"/>
    <x v="1"/>
    <x v="0"/>
    <n v="11088"/>
  </r>
  <r>
    <x v="0"/>
    <x v="2"/>
    <x v="0"/>
    <n v="19902"/>
  </r>
  <r>
    <x v="0"/>
    <x v="3"/>
    <x v="0"/>
    <n v="11358"/>
  </r>
  <r>
    <x v="0"/>
    <x v="4"/>
    <x v="0"/>
    <n v="313"/>
  </r>
  <r>
    <x v="0"/>
    <x v="5"/>
    <x v="0"/>
    <n v="8231"/>
  </r>
  <r>
    <x v="0"/>
    <x v="6"/>
    <x v="0"/>
    <n v="249"/>
  </r>
  <r>
    <x v="0"/>
    <x v="7"/>
    <x v="0"/>
    <n v="355"/>
  </r>
  <r>
    <x v="0"/>
    <x v="8"/>
    <x v="0"/>
    <n v="781"/>
  </r>
  <r>
    <x v="0"/>
    <x v="9"/>
    <x v="0"/>
    <n v="40"/>
  </r>
  <r>
    <x v="0"/>
    <x v="10"/>
    <x v="0"/>
    <n v="8946"/>
  </r>
  <r>
    <x v="0"/>
    <x v="11"/>
    <x v="0"/>
    <n v="2040"/>
  </r>
  <r>
    <x v="0"/>
    <x v="12"/>
    <x v="0"/>
    <n v="6906"/>
  </r>
  <r>
    <x v="0"/>
    <x v="13"/>
    <x v="0"/>
    <n v="82"/>
  </r>
  <r>
    <x v="0"/>
    <x v="14"/>
    <x v="0"/>
    <n v="0"/>
  </r>
  <r>
    <x v="0"/>
    <x v="15"/>
    <x v="0"/>
    <n v="0"/>
  </r>
  <r>
    <x v="0"/>
    <x v="16"/>
    <x v="0"/>
    <n v="6824"/>
  </r>
  <r>
    <x v="0"/>
    <x v="0"/>
    <x v="1"/>
    <n v="35119"/>
  </r>
  <r>
    <x v="0"/>
    <x v="1"/>
    <x v="1"/>
    <n v="12693"/>
  </r>
  <r>
    <x v="0"/>
    <x v="2"/>
    <x v="1"/>
    <n v="22426"/>
  </r>
  <r>
    <x v="0"/>
    <x v="3"/>
    <x v="1"/>
    <n v="13194"/>
  </r>
  <r>
    <x v="0"/>
    <x v="4"/>
    <x v="1"/>
    <n v="819"/>
  </r>
  <r>
    <x v="0"/>
    <x v="5"/>
    <x v="1"/>
    <n v="8413"/>
  </r>
  <r>
    <x v="0"/>
    <x v="6"/>
    <x v="1"/>
    <n v="317"/>
  </r>
  <r>
    <x v="0"/>
    <x v="7"/>
    <x v="1"/>
    <n v="733"/>
  </r>
  <r>
    <x v="0"/>
    <x v="8"/>
    <x v="1"/>
    <n v="1025"/>
  </r>
  <r>
    <x v="0"/>
    <x v="9"/>
    <x v="1"/>
    <n v="5185"/>
  </r>
  <r>
    <x v="0"/>
    <x v="10"/>
    <x v="1"/>
    <n v="14207"/>
  </r>
  <r>
    <x v="0"/>
    <x v="11"/>
    <x v="1"/>
    <n v="2370"/>
  </r>
  <r>
    <x v="0"/>
    <x v="12"/>
    <x v="1"/>
    <n v="11837"/>
  </r>
  <r>
    <x v="0"/>
    <x v="13"/>
    <x v="1"/>
    <n v="50"/>
  </r>
  <r>
    <x v="0"/>
    <x v="14"/>
    <x v="1"/>
    <n v="0"/>
  </r>
  <r>
    <x v="0"/>
    <x v="15"/>
    <x v="1"/>
    <n v="0"/>
  </r>
  <r>
    <x v="0"/>
    <x v="16"/>
    <x v="1"/>
    <n v="11787"/>
  </r>
  <r>
    <x v="0"/>
    <x v="0"/>
    <x v="2"/>
    <n v="46542"/>
  </r>
  <r>
    <x v="0"/>
    <x v="1"/>
    <x v="2"/>
    <n v="18215"/>
  </r>
  <r>
    <x v="0"/>
    <x v="2"/>
    <x v="2"/>
    <n v="28327"/>
  </r>
  <r>
    <x v="0"/>
    <x v="3"/>
    <x v="2"/>
    <n v="17422"/>
  </r>
  <r>
    <x v="0"/>
    <x v="4"/>
    <x v="2"/>
    <n v="732"/>
  </r>
  <r>
    <x v="0"/>
    <x v="5"/>
    <x v="2"/>
    <n v="10173"/>
  </r>
  <r>
    <x v="0"/>
    <x v="6"/>
    <x v="2"/>
    <n v="483"/>
  </r>
  <r>
    <x v="0"/>
    <x v="7"/>
    <x v="2"/>
    <n v="417"/>
  </r>
  <r>
    <x v="0"/>
    <x v="8"/>
    <x v="2"/>
    <n v="690"/>
  </r>
  <r>
    <x v="0"/>
    <x v="9"/>
    <x v="2"/>
    <n v="529"/>
  </r>
  <r>
    <x v="0"/>
    <x v="10"/>
    <x v="2"/>
    <n v="11458"/>
  </r>
  <r>
    <x v="0"/>
    <x v="11"/>
    <x v="2"/>
    <n v="2812"/>
  </r>
  <r>
    <x v="0"/>
    <x v="12"/>
    <x v="2"/>
    <n v="8646"/>
  </r>
  <r>
    <x v="0"/>
    <x v="13"/>
    <x v="2"/>
    <n v="62"/>
  </r>
  <r>
    <x v="0"/>
    <x v="14"/>
    <x v="2"/>
    <n v="0"/>
  </r>
  <r>
    <x v="0"/>
    <x v="15"/>
    <x v="2"/>
    <n v="0"/>
  </r>
  <r>
    <x v="0"/>
    <x v="16"/>
    <x v="2"/>
    <n v="8584"/>
  </r>
  <r>
    <x v="0"/>
    <x v="0"/>
    <x v="3"/>
    <n v="48017"/>
  </r>
  <r>
    <x v="0"/>
    <x v="1"/>
    <x v="3"/>
    <n v="19053"/>
  </r>
  <r>
    <x v="0"/>
    <x v="2"/>
    <x v="3"/>
    <n v="28964"/>
  </r>
  <r>
    <x v="0"/>
    <x v="3"/>
    <x v="3"/>
    <n v="17738"/>
  </r>
  <r>
    <x v="0"/>
    <x v="4"/>
    <x v="3"/>
    <n v="447"/>
  </r>
  <r>
    <x v="0"/>
    <x v="5"/>
    <x v="3"/>
    <n v="10779"/>
  </r>
  <r>
    <x v="0"/>
    <x v="6"/>
    <x v="3"/>
    <n v="471"/>
  </r>
  <r>
    <x v="0"/>
    <x v="7"/>
    <x v="3"/>
    <n v="397"/>
  </r>
  <r>
    <x v="0"/>
    <x v="8"/>
    <x v="3"/>
    <n v="819"/>
  </r>
  <r>
    <x v="0"/>
    <x v="9"/>
    <x v="3"/>
    <n v="137"/>
  </r>
  <r>
    <x v="0"/>
    <x v="10"/>
    <x v="3"/>
    <n v="11809"/>
  </r>
  <r>
    <x v="0"/>
    <x v="11"/>
    <x v="3"/>
    <n v="2723"/>
  </r>
  <r>
    <x v="0"/>
    <x v="12"/>
    <x v="3"/>
    <n v="9086"/>
  </r>
  <r>
    <x v="0"/>
    <x v="13"/>
    <x v="3"/>
    <n v="67"/>
  </r>
  <r>
    <x v="0"/>
    <x v="14"/>
    <x v="3"/>
    <n v="0"/>
  </r>
  <r>
    <x v="0"/>
    <x v="15"/>
    <x v="3"/>
    <n v="0"/>
  </r>
  <r>
    <x v="0"/>
    <x v="16"/>
    <x v="3"/>
    <n v="9019"/>
  </r>
  <r>
    <x v="0"/>
    <x v="0"/>
    <x v="4"/>
    <n v="46854"/>
  </r>
  <r>
    <x v="0"/>
    <x v="1"/>
    <x v="4"/>
    <n v="18421"/>
  </r>
  <r>
    <x v="0"/>
    <x v="2"/>
    <x v="4"/>
    <n v="28433"/>
  </r>
  <r>
    <x v="0"/>
    <x v="3"/>
    <x v="4"/>
    <n v="17310"/>
  </r>
  <r>
    <x v="0"/>
    <x v="4"/>
    <x v="4"/>
    <n v="895"/>
  </r>
  <r>
    <x v="0"/>
    <x v="5"/>
    <x v="4"/>
    <n v="10228"/>
  </r>
  <r>
    <x v="0"/>
    <x v="6"/>
    <x v="4"/>
    <n v="534"/>
  </r>
  <r>
    <x v="0"/>
    <x v="7"/>
    <x v="4"/>
    <n v="463"/>
  </r>
  <r>
    <x v="0"/>
    <x v="8"/>
    <x v="4"/>
    <n v="602"/>
  </r>
  <r>
    <x v="0"/>
    <x v="9"/>
    <x v="4"/>
    <n v="576"/>
  </r>
  <r>
    <x v="0"/>
    <x v="10"/>
    <x v="4"/>
    <n v="11477"/>
  </r>
  <r>
    <x v="0"/>
    <x v="11"/>
    <x v="4"/>
    <n v="2851"/>
  </r>
  <r>
    <x v="0"/>
    <x v="12"/>
    <x v="4"/>
    <n v="8626"/>
  </r>
  <r>
    <x v="0"/>
    <x v="13"/>
    <x v="4"/>
    <n v="42"/>
  </r>
  <r>
    <x v="0"/>
    <x v="14"/>
    <x v="4"/>
    <n v="0"/>
  </r>
  <r>
    <x v="0"/>
    <x v="15"/>
    <x v="4"/>
    <n v="0"/>
  </r>
  <r>
    <x v="0"/>
    <x v="16"/>
    <x v="4"/>
    <n v="8584"/>
  </r>
  <r>
    <x v="0"/>
    <x v="0"/>
    <x v="5"/>
    <n v="45998"/>
  </r>
  <r>
    <x v="0"/>
    <x v="1"/>
    <x v="5"/>
    <n v="17889"/>
  </r>
  <r>
    <x v="0"/>
    <x v="2"/>
    <x v="5"/>
    <n v="28109"/>
  </r>
  <r>
    <x v="0"/>
    <x v="3"/>
    <x v="5"/>
    <n v="17218"/>
  </r>
  <r>
    <x v="0"/>
    <x v="4"/>
    <x v="5"/>
    <n v="1183"/>
  </r>
  <r>
    <x v="0"/>
    <x v="5"/>
    <x v="5"/>
    <n v="9708"/>
  </r>
  <r>
    <x v="0"/>
    <x v="6"/>
    <x v="5"/>
    <n v="594"/>
  </r>
  <r>
    <x v="0"/>
    <x v="7"/>
    <x v="5"/>
    <n v="483"/>
  </r>
  <r>
    <x v="0"/>
    <x v="8"/>
    <x v="5"/>
    <n v="769"/>
  </r>
  <r>
    <x v="0"/>
    <x v="9"/>
    <x v="5"/>
    <n v="-1263"/>
  </r>
  <r>
    <x v="0"/>
    <x v="10"/>
    <x v="5"/>
    <n v="9325"/>
  </r>
  <r>
    <x v="0"/>
    <x v="11"/>
    <x v="5"/>
    <n v="2201"/>
  </r>
  <r>
    <x v="0"/>
    <x v="12"/>
    <x v="5"/>
    <n v="7124"/>
  </r>
  <r>
    <x v="0"/>
    <x v="13"/>
    <x v="5"/>
    <n v="26"/>
  </r>
  <r>
    <x v="0"/>
    <x v="14"/>
    <x v="5"/>
    <n v="0"/>
  </r>
  <r>
    <x v="0"/>
    <x v="15"/>
    <x v="5"/>
    <n v="0"/>
  </r>
  <r>
    <x v="0"/>
    <x v="16"/>
    <x v="5"/>
    <n v="7098"/>
  </r>
  <r>
    <x v="0"/>
    <x v="0"/>
    <x v="6"/>
    <n v="44294"/>
  </r>
  <r>
    <x v="0"/>
    <x v="1"/>
    <x v="6"/>
    <n v="17482"/>
  </r>
  <r>
    <x v="0"/>
    <x v="2"/>
    <x v="6"/>
    <n v="26812"/>
  </r>
  <r>
    <x v="0"/>
    <x v="3"/>
    <x v="6"/>
    <n v="16427"/>
  </r>
  <r>
    <x v="0"/>
    <x v="4"/>
    <x v="6"/>
    <n v="1657"/>
  </r>
  <r>
    <x v="0"/>
    <x v="5"/>
    <x v="6"/>
    <n v="8728"/>
  </r>
  <r>
    <x v="0"/>
    <x v="6"/>
    <x v="6"/>
    <n v="613"/>
  </r>
  <r>
    <x v="0"/>
    <x v="7"/>
    <x v="6"/>
    <n v="856"/>
  </r>
  <r>
    <x v="0"/>
    <x v="8"/>
    <x v="6"/>
    <n v="489"/>
  </r>
  <r>
    <x v="0"/>
    <x v="9"/>
    <x v="6"/>
    <n v="631"/>
  </r>
  <r>
    <x v="0"/>
    <x v="10"/>
    <x v="6"/>
    <n v="9605"/>
  </r>
  <r>
    <x v="0"/>
    <x v="11"/>
    <x v="6"/>
    <n v="2239"/>
  </r>
  <r>
    <x v="0"/>
    <x v="12"/>
    <x v="6"/>
    <n v="7366"/>
  </r>
  <r>
    <x v="0"/>
    <x v="13"/>
    <x v="6"/>
    <n v="15"/>
  </r>
  <r>
    <x v="0"/>
    <x v="14"/>
    <x v="6"/>
    <n v="7366"/>
  </r>
  <r>
    <x v="0"/>
    <x v="15"/>
    <x v="6"/>
    <n v="0"/>
  </r>
  <r>
    <x v="0"/>
    <x v="16"/>
    <x v="6"/>
    <n v="7351"/>
  </r>
  <r>
    <x v="0"/>
    <x v="0"/>
    <x v="7"/>
    <n v="41863"/>
  </r>
  <r>
    <x v="0"/>
    <x v="1"/>
    <x v="7"/>
    <n v="16465"/>
  </r>
  <r>
    <x v="0"/>
    <x v="2"/>
    <x v="7"/>
    <n v="25398"/>
  </r>
  <r>
    <x v="0"/>
    <x v="3"/>
    <x v="7"/>
    <n v="15262"/>
  </r>
  <r>
    <x v="0"/>
    <x v="4"/>
    <x v="7"/>
    <n v="1510"/>
  </r>
  <r>
    <x v="0"/>
    <x v="5"/>
    <x v="7"/>
    <n v="8626"/>
  </r>
  <r>
    <x v="0"/>
    <x v="6"/>
    <x v="7"/>
    <n v="642"/>
  </r>
  <r>
    <x v="0"/>
    <x v="7"/>
    <x v="7"/>
    <n v="733"/>
  </r>
  <r>
    <x v="0"/>
    <x v="8"/>
    <x v="7"/>
    <n v="835"/>
  </r>
  <r>
    <x v="0"/>
    <x v="9"/>
    <x v="7"/>
    <n v="-1234"/>
  </r>
  <r>
    <x v="0"/>
    <x v="10"/>
    <x v="7"/>
    <n v="8136"/>
  </r>
  <r>
    <x v="0"/>
    <x v="11"/>
    <x v="7"/>
    <n v="1586"/>
  </r>
  <r>
    <x v="0"/>
    <x v="12"/>
    <x v="7"/>
    <n v="6550"/>
  </r>
  <r>
    <x v="0"/>
    <x v="13"/>
    <x v="7"/>
    <n v="23"/>
  </r>
  <r>
    <x v="0"/>
    <x v="14"/>
    <x v="7"/>
    <n v="6550"/>
  </r>
  <r>
    <x v="0"/>
    <x v="15"/>
    <x v="7"/>
    <n v="0"/>
  </r>
  <r>
    <x v="0"/>
    <x v="16"/>
    <x v="7"/>
    <n v="6527"/>
  </r>
  <r>
    <x v="0"/>
    <x v="0"/>
    <x v="8"/>
    <n v="35410"/>
  </r>
  <r>
    <x v="0"/>
    <x v="1"/>
    <x v="8"/>
    <n v="13255"/>
  </r>
  <r>
    <x v="0"/>
    <x v="2"/>
    <x v="8"/>
    <n v="22155"/>
  </r>
  <r>
    <x v="0"/>
    <x v="3"/>
    <x v="8"/>
    <n v="12654"/>
  </r>
  <r>
    <x v="0"/>
    <x v="4"/>
    <x v="8"/>
    <n v="1902"/>
  </r>
  <r>
    <x v="0"/>
    <x v="5"/>
    <x v="8"/>
    <n v="7599"/>
  </r>
  <r>
    <x v="0"/>
    <x v="6"/>
    <x v="8"/>
    <n v="677"/>
  </r>
  <r>
    <x v="0"/>
    <x v="7"/>
    <x v="8"/>
    <n v="841"/>
  </r>
  <r>
    <x v="0"/>
    <x v="8"/>
    <x v="8"/>
    <n v="1071"/>
  </r>
  <r>
    <x v="0"/>
    <x v="9"/>
    <x v="8"/>
    <n v="-1764"/>
  </r>
  <r>
    <x v="0"/>
    <x v="10"/>
    <x v="8"/>
    <n v="6742"/>
  </r>
  <r>
    <x v="0"/>
    <x v="11"/>
    <x v="8"/>
    <n v="5560"/>
  </r>
  <r>
    <x v="0"/>
    <x v="12"/>
    <x v="8"/>
    <n v="1283"/>
  </r>
  <r>
    <x v="0"/>
    <x v="13"/>
    <x v="8"/>
    <n v="35"/>
  </r>
  <r>
    <x v="0"/>
    <x v="14"/>
    <x v="8"/>
    <n v="1182"/>
  </r>
  <r>
    <x v="0"/>
    <x v="15"/>
    <x v="8"/>
    <n v="101"/>
  </r>
  <r>
    <x v="0"/>
    <x v="16"/>
    <x v="8"/>
    <n v="1248"/>
  </r>
  <r>
    <x v="0"/>
    <x v="0"/>
    <x v="9"/>
    <n v="31856"/>
  </r>
  <r>
    <x v="0"/>
    <x v="1"/>
    <x v="9"/>
    <n v="11770"/>
  </r>
  <r>
    <x v="0"/>
    <x v="2"/>
    <x v="9"/>
    <n v="20086"/>
  </r>
  <r>
    <x v="0"/>
    <x v="3"/>
    <x v="9"/>
    <n v="10307"/>
  </r>
  <r>
    <x v="0"/>
    <x v="4"/>
    <x v="9"/>
    <n v="1079"/>
  </r>
  <r>
    <x v="0"/>
    <x v="5"/>
    <x v="9"/>
    <n v="8700"/>
  </r>
  <r>
    <x v="0"/>
    <x v="6"/>
    <x v="9"/>
    <n v="682"/>
  </r>
  <r>
    <x v="0"/>
    <x v="7"/>
    <x v="9"/>
    <n v="919"/>
  </r>
  <r>
    <x v="0"/>
    <x v="8"/>
    <x v="9"/>
    <n v="1008"/>
  </r>
  <r>
    <x v="0"/>
    <x v="9"/>
    <x v="9"/>
    <n v="-1121"/>
  </r>
  <r>
    <x v="0"/>
    <x v="10"/>
    <x v="9"/>
    <n v="8350"/>
  </r>
  <r>
    <x v="0"/>
    <x v="11"/>
    <x v="9"/>
    <n v="1623"/>
  </r>
  <r>
    <x v="0"/>
    <x v="12"/>
    <x v="9"/>
    <n v="6476"/>
  </r>
  <r>
    <x v="0"/>
    <x v="13"/>
    <x v="9"/>
    <n v="42"/>
  </r>
  <r>
    <x v="0"/>
    <x v="14"/>
    <x v="9"/>
    <n v="6727"/>
  </r>
  <r>
    <x v="0"/>
    <x v="15"/>
    <x v="9"/>
    <n v="-251"/>
  </r>
  <r>
    <x v="0"/>
    <x v="16"/>
    <x v="9"/>
    <n v="6434"/>
  </r>
  <r>
    <x v="1"/>
    <x v="17"/>
    <x v="0"/>
    <n v="7021"/>
  </r>
  <r>
    <x v="1"/>
    <x v="18"/>
    <x v="0"/>
    <n v="2130"/>
  </r>
  <r>
    <x v="1"/>
    <x v="19"/>
    <x v="0"/>
    <n v="9151"/>
  </r>
  <r>
    <x v="1"/>
    <x v="20"/>
    <x v="0"/>
    <n v="62"/>
  </r>
  <r>
    <x v="1"/>
    <x v="21"/>
    <x v="0"/>
    <n v="3758"/>
  </r>
  <r>
    <x v="1"/>
    <x v="22"/>
    <x v="0"/>
    <n v="2354"/>
  </r>
  <r>
    <x v="1"/>
    <x v="23"/>
    <x v="0"/>
    <n v="2226"/>
  </r>
  <r>
    <x v="1"/>
    <x v="24"/>
    <x v="0"/>
    <n v="0"/>
  </r>
  <r>
    <x v="1"/>
    <x v="24"/>
    <x v="0"/>
    <n v="0"/>
  </r>
  <r>
    <x v="1"/>
    <x v="25"/>
    <x v="0"/>
    <n v="17551"/>
  </r>
  <r>
    <x v="1"/>
    <x v="26"/>
    <x v="0"/>
    <n v="6217"/>
  </r>
  <r>
    <x v="1"/>
    <x v="27"/>
    <x v="0"/>
    <n v="538"/>
  </r>
  <r>
    <x v="1"/>
    <x v="28"/>
    <x v="0"/>
    <n v="1976"/>
  </r>
  <r>
    <x v="1"/>
    <x v="29"/>
    <x v="0"/>
    <n v="9561"/>
  </r>
  <r>
    <x v="1"/>
    <x v="30"/>
    <x v="0"/>
    <n v="0"/>
  </r>
  <r>
    <x v="1"/>
    <x v="31"/>
    <x v="0"/>
    <n v="6183"/>
  </r>
  <r>
    <x v="1"/>
    <x v="32"/>
    <x v="0"/>
    <n v="1953"/>
  </r>
  <r>
    <x v="1"/>
    <x v="33"/>
    <x v="0"/>
    <n v="4224"/>
  </r>
  <r>
    <x v="1"/>
    <x v="34"/>
    <x v="0"/>
    <n v="468"/>
  </r>
  <r>
    <x v="1"/>
    <x v="35"/>
    <x v="0"/>
    <n v="48671"/>
  </r>
  <r>
    <x v="1"/>
    <x v="36"/>
    <x v="0"/>
    <n v="0"/>
  </r>
  <r>
    <x v="1"/>
    <x v="37"/>
    <x v="0"/>
    <n v="6657"/>
  </r>
  <r>
    <x v="1"/>
    <x v="38"/>
    <x v="0"/>
    <n v="6749"/>
  </r>
  <r>
    <x v="1"/>
    <x v="39"/>
    <x v="0"/>
    <n v="51"/>
  </r>
  <r>
    <x v="1"/>
    <x v="40"/>
    <x v="0"/>
    <n v="264"/>
  </r>
  <r>
    <x v="1"/>
    <x v="41"/>
    <x v="0"/>
    <n v="0"/>
  </r>
  <r>
    <x v="1"/>
    <x v="42"/>
    <x v="0"/>
    <n v="0"/>
  </r>
  <r>
    <x v="1"/>
    <x v="43"/>
    <x v="0"/>
    <n v="13721"/>
  </r>
  <r>
    <x v="1"/>
    <x v="44"/>
    <x v="0"/>
    <n v="5059"/>
  </r>
  <r>
    <x v="1"/>
    <x v="45"/>
    <x v="0"/>
    <n v="2965"/>
  </r>
  <r>
    <x v="1"/>
    <x v="46"/>
    <x v="0"/>
    <n v="1580"/>
  </r>
  <r>
    <x v="1"/>
    <x v="47"/>
    <x v="0"/>
    <n v="880"/>
  </r>
  <r>
    <x v="1"/>
    <x v="48"/>
    <x v="0"/>
    <n v="8537"/>
  </r>
  <r>
    <x v="1"/>
    <x v="49"/>
    <x v="0"/>
    <n v="41537"/>
  </r>
  <r>
    <x v="1"/>
    <x v="50"/>
    <x v="0"/>
    <n v="-757"/>
  </r>
  <r>
    <x v="1"/>
    <x v="51"/>
    <x v="0"/>
    <n v="-25398"/>
  </r>
  <r>
    <x v="1"/>
    <x v="52"/>
    <x v="0"/>
    <n v="24799"/>
  </r>
  <r>
    <x v="1"/>
    <x v="53"/>
    <x v="0"/>
    <n v="547"/>
  </r>
  <r>
    <x v="1"/>
    <x v="54"/>
    <x v="0"/>
    <n v="25346"/>
  </r>
  <r>
    <x v="1"/>
    <x v="55"/>
    <x v="0"/>
    <n v="48671"/>
  </r>
  <r>
    <x v="1"/>
    <x v="17"/>
    <x v="1"/>
    <n v="8517"/>
  </r>
  <r>
    <x v="1"/>
    <x v="18"/>
    <x v="1"/>
    <n v="2682"/>
  </r>
  <r>
    <x v="1"/>
    <x v="19"/>
    <x v="1"/>
    <n v="11199"/>
  </r>
  <r>
    <x v="1"/>
    <x v="20"/>
    <x v="1"/>
    <n v="138"/>
  </r>
  <r>
    <x v="1"/>
    <x v="21"/>
    <x v="1"/>
    <n v="4430"/>
  </r>
  <r>
    <x v="1"/>
    <x v="22"/>
    <x v="1"/>
    <n v="2650"/>
  </r>
  <r>
    <x v="1"/>
    <x v="23"/>
    <x v="1"/>
    <n v="3162"/>
  </r>
  <r>
    <x v="1"/>
    <x v="24"/>
    <x v="1"/>
    <n v="0"/>
  </r>
  <r>
    <x v="1"/>
    <x v="24"/>
    <x v="1"/>
    <n v="0"/>
  </r>
  <r>
    <x v="1"/>
    <x v="25"/>
    <x v="1"/>
    <n v="21579"/>
  </r>
  <r>
    <x v="1"/>
    <x v="26"/>
    <x v="1"/>
    <n v="6954"/>
  </r>
  <r>
    <x v="1"/>
    <x v="27"/>
    <x v="1"/>
    <n v="631"/>
  </r>
  <r>
    <x v="1"/>
    <x v="28"/>
    <x v="1"/>
    <n v="2121"/>
  </r>
  <r>
    <x v="1"/>
    <x v="29"/>
    <x v="1"/>
    <n v="14727"/>
  </r>
  <r>
    <x v="1"/>
    <x v="30"/>
    <x v="1"/>
    <n v="0"/>
  </r>
  <r>
    <x v="1"/>
    <x v="31"/>
    <x v="1"/>
    <n v="6356"/>
  </r>
  <r>
    <x v="1"/>
    <x v="32"/>
    <x v="1"/>
    <n v="7511"/>
  </r>
  <r>
    <x v="1"/>
    <x v="33"/>
    <x v="1"/>
    <n v="11665"/>
  </r>
  <r>
    <x v="1"/>
    <x v="34"/>
    <x v="1"/>
    <n v="1377"/>
  </r>
  <r>
    <x v="1"/>
    <x v="35"/>
    <x v="1"/>
    <n v="72921"/>
  </r>
  <r>
    <x v="1"/>
    <x v="36"/>
    <x v="1"/>
    <n v="0"/>
  </r>
  <r>
    <x v="1"/>
    <x v="37"/>
    <x v="1"/>
    <n v="8859"/>
  </r>
  <r>
    <x v="1"/>
    <x v="38"/>
    <x v="1"/>
    <n v="8100"/>
  </r>
  <r>
    <x v="1"/>
    <x v="39"/>
    <x v="1"/>
    <n v="1276"/>
  </r>
  <r>
    <x v="1"/>
    <x v="40"/>
    <x v="1"/>
    <n v="273"/>
  </r>
  <r>
    <x v="1"/>
    <x v="41"/>
    <x v="1"/>
    <n v="0"/>
  </r>
  <r>
    <x v="1"/>
    <x v="42"/>
    <x v="1"/>
    <n v="0"/>
  </r>
  <r>
    <x v="1"/>
    <x v="43"/>
    <x v="1"/>
    <n v="18508"/>
  </r>
  <r>
    <x v="1"/>
    <x v="44"/>
    <x v="1"/>
    <n v="14041"/>
  </r>
  <r>
    <x v="1"/>
    <x v="45"/>
    <x v="1"/>
    <n v="4794"/>
  </r>
  <r>
    <x v="1"/>
    <x v="46"/>
    <x v="1"/>
    <n v="4261"/>
  </r>
  <r>
    <x v="1"/>
    <x v="47"/>
    <x v="1"/>
    <n v="880"/>
  </r>
  <r>
    <x v="1"/>
    <x v="48"/>
    <x v="1"/>
    <n v="10057"/>
  </r>
  <r>
    <x v="1"/>
    <x v="49"/>
    <x v="1"/>
    <n v="49278"/>
  </r>
  <r>
    <x v="1"/>
    <x v="50"/>
    <x v="1"/>
    <n v="-1450"/>
  </r>
  <r>
    <x v="1"/>
    <x v="51"/>
    <x v="1"/>
    <n v="-27762"/>
  </r>
  <r>
    <x v="1"/>
    <x v="52"/>
    <x v="1"/>
    <n v="31003"/>
  </r>
  <r>
    <x v="1"/>
    <x v="53"/>
    <x v="1"/>
    <n v="314"/>
  </r>
  <r>
    <x v="1"/>
    <x v="54"/>
    <x v="1"/>
    <n v="31317"/>
  </r>
  <r>
    <x v="1"/>
    <x v="55"/>
    <x v="1"/>
    <n v="72921"/>
  </r>
  <r>
    <x v="1"/>
    <x v="17"/>
    <x v="2"/>
    <n v="12803"/>
  </r>
  <r>
    <x v="1"/>
    <x v="18"/>
    <x v="2"/>
    <n v="1088"/>
  </r>
  <r>
    <x v="1"/>
    <x v="19"/>
    <x v="2"/>
    <n v="13891"/>
  </r>
  <r>
    <x v="1"/>
    <x v="20"/>
    <x v="2"/>
    <n v="144"/>
  </r>
  <r>
    <x v="1"/>
    <x v="21"/>
    <x v="2"/>
    <n v="4920"/>
  </r>
  <r>
    <x v="1"/>
    <x v="22"/>
    <x v="2"/>
    <n v="3092"/>
  </r>
  <r>
    <x v="1"/>
    <x v="23"/>
    <x v="2"/>
    <n v="3450"/>
  </r>
  <r>
    <x v="1"/>
    <x v="24"/>
    <x v="2"/>
    <n v="0"/>
  </r>
  <r>
    <x v="1"/>
    <x v="24"/>
    <x v="2"/>
    <n v="0"/>
  </r>
  <r>
    <x v="1"/>
    <x v="25"/>
    <x v="2"/>
    <n v="25497"/>
  </r>
  <r>
    <x v="1"/>
    <x v="26"/>
    <x v="2"/>
    <n v="7233"/>
  </r>
  <r>
    <x v="1"/>
    <x v="27"/>
    <x v="2"/>
    <n v="1141"/>
  </r>
  <r>
    <x v="1"/>
    <x v="28"/>
    <x v="2"/>
    <n v="3495"/>
  </r>
  <r>
    <x v="1"/>
    <x v="29"/>
    <x v="2"/>
    <n v="14939"/>
  </r>
  <r>
    <x v="1"/>
    <x v="30"/>
    <x v="2"/>
    <n v="0"/>
  </r>
  <r>
    <x v="1"/>
    <x v="31"/>
    <x v="2"/>
    <n v="6430"/>
  </r>
  <r>
    <x v="1"/>
    <x v="32"/>
    <x v="2"/>
    <n v="7770"/>
  </r>
  <r>
    <x v="1"/>
    <x v="33"/>
    <x v="2"/>
    <n v="12219"/>
  </r>
  <r>
    <x v="1"/>
    <x v="34"/>
    <x v="2"/>
    <n v="1250"/>
  </r>
  <r>
    <x v="1"/>
    <x v="35"/>
    <x v="2"/>
    <n v="79974"/>
  </r>
  <r>
    <x v="1"/>
    <x v="36"/>
    <x v="2"/>
    <n v="0"/>
  </r>
  <r>
    <x v="1"/>
    <x v="37"/>
    <x v="2"/>
    <n v="9009"/>
  </r>
  <r>
    <x v="1"/>
    <x v="38"/>
    <x v="2"/>
    <n v="12871"/>
  </r>
  <r>
    <x v="1"/>
    <x v="39"/>
    <x v="2"/>
    <n v="2041"/>
  </r>
  <r>
    <x v="1"/>
    <x v="40"/>
    <x v="2"/>
    <n v="362"/>
  </r>
  <r>
    <x v="1"/>
    <x v="41"/>
    <x v="2"/>
    <n v="0"/>
  </r>
  <r>
    <x v="1"/>
    <x v="42"/>
    <x v="2"/>
    <n v="0"/>
  </r>
  <r>
    <x v="1"/>
    <x v="43"/>
    <x v="2"/>
    <n v="24283"/>
  </r>
  <r>
    <x v="1"/>
    <x v="44"/>
    <x v="2"/>
    <n v="13656"/>
  </r>
  <r>
    <x v="1"/>
    <x v="45"/>
    <x v="2"/>
    <n v="5420"/>
  </r>
  <r>
    <x v="1"/>
    <x v="46"/>
    <x v="2"/>
    <n v="4694"/>
  </r>
  <r>
    <x v="1"/>
    <x v="47"/>
    <x v="2"/>
    <n v="1760"/>
  </r>
  <r>
    <x v="1"/>
    <x v="48"/>
    <x v="2"/>
    <n v="10332"/>
  </r>
  <r>
    <x v="1"/>
    <x v="49"/>
    <x v="2"/>
    <n v="53621"/>
  </r>
  <r>
    <x v="1"/>
    <x v="50"/>
    <x v="2"/>
    <n v="-2774"/>
  </r>
  <r>
    <x v="1"/>
    <x v="51"/>
    <x v="2"/>
    <n v="-31304"/>
  </r>
  <r>
    <x v="1"/>
    <x v="52"/>
    <x v="2"/>
    <n v="31635"/>
  </r>
  <r>
    <x v="1"/>
    <x v="53"/>
    <x v="2"/>
    <n v="286"/>
  </r>
  <r>
    <x v="1"/>
    <x v="54"/>
    <x v="2"/>
    <n v="31921"/>
  </r>
  <r>
    <x v="1"/>
    <x v="55"/>
    <x v="2"/>
    <n v="79974"/>
  </r>
  <r>
    <x v="1"/>
    <x v="17"/>
    <x v="3"/>
    <n v="8442"/>
  </r>
  <r>
    <x v="1"/>
    <x v="18"/>
    <x v="3"/>
    <n v="5017"/>
  </r>
  <r>
    <x v="1"/>
    <x v="19"/>
    <x v="3"/>
    <n v="13459"/>
  </r>
  <r>
    <x v="1"/>
    <x v="20"/>
    <x v="3"/>
    <n v="3092"/>
  </r>
  <r>
    <x v="1"/>
    <x v="21"/>
    <x v="3"/>
    <n v="4759"/>
  </r>
  <r>
    <x v="1"/>
    <x v="22"/>
    <x v="3"/>
    <n v="3264"/>
  </r>
  <r>
    <x v="1"/>
    <x v="23"/>
    <x v="3"/>
    <n v="2781"/>
  </r>
  <r>
    <x v="1"/>
    <x v="24"/>
    <x v="3"/>
    <n v="2973"/>
  </r>
  <r>
    <x v="1"/>
    <x v="24"/>
    <x v="3"/>
    <n v="0"/>
  </r>
  <r>
    <x v="1"/>
    <x v="25"/>
    <x v="3"/>
    <n v="30328"/>
  </r>
  <r>
    <x v="1"/>
    <x v="26"/>
    <x v="3"/>
    <n v="9216"/>
  </r>
  <r>
    <x v="1"/>
    <x v="27"/>
    <x v="3"/>
    <n v="1232"/>
  </r>
  <r>
    <x v="1"/>
    <x v="28"/>
    <x v="3"/>
    <n v="3585"/>
  </r>
  <r>
    <x v="1"/>
    <x v="29"/>
    <x v="3"/>
    <n v="14476"/>
  </r>
  <r>
    <x v="1"/>
    <x v="30"/>
    <x v="3"/>
    <n v="0"/>
  </r>
  <r>
    <x v="1"/>
    <x v="31"/>
    <x v="3"/>
    <n v="6527"/>
  </r>
  <r>
    <x v="1"/>
    <x v="32"/>
    <x v="3"/>
    <n v="7405"/>
  </r>
  <r>
    <x v="1"/>
    <x v="33"/>
    <x v="3"/>
    <n v="12255"/>
  </r>
  <r>
    <x v="1"/>
    <x v="34"/>
    <x v="3"/>
    <n v="1150"/>
  </r>
  <r>
    <x v="1"/>
    <x v="35"/>
    <x v="3"/>
    <n v="86174"/>
  </r>
  <r>
    <x v="1"/>
    <x v="36"/>
    <x v="3"/>
    <n v="0"/>
  </r>
  <r>
    <x v="1"/>
    <x v="37"/>
    <x v="3"/>
    <n v="8680"/>
  </r>
  <r>
    <x v="1"/>
    <x v="38"/>
    <x v="3"/>
    <n v="16297"/>
  </r>
  <r>
    <x v="1"/>
    <x v="39"/>
    <x v="3"/>
    <n v="1577"/>
  </r>
  <r>
    <x v="1"/>
    <x v="40"/>
    <x v="3"/>
    <n v="471"/>
  </r>
  <r>
    <x v="1"/>
    <x v="41"/>
    <x v="3"/>
    <n v="796"/>
  </r>
  <r>
    <x v="1"/>
    <x v="42"/>
    <x v="3"/>
    <n v="0"/>
  </r>
  <r>
    <x v="1"/>
    <x v="43"/>
    <x v="3"/>
    <n v="27821"/>
  </r>
  <r>
    <x v="1"/>
    <x v="44"/>
    <x v="3"/>
    <n v="14736"/>
  </r>
  <r>
    <x v="1"/>
    <x v="45"/>
    <x v="3"/>
    <n v="5468"/>
  </r>
  <r>
    <x v="1"/>
    <x v="46"/>
    <x v="3"/>
    <n v="4981"/>
  </r>
  <r>
    <x v="1"/>
    <x v="47"/>
    <x v="3"/>
    <n v="1760"/>
  </r>
  <r>
    <x v="1"/>
    <x v="48"/>
    <x v="3"/>
    <n v="11379"/>
  </r>
  <r>
    <x v="1"/>
    <x v="49"/>
    <x v="3"/>
    <n v="58045"/>
  </r>
  <r>
    <x v="1"/>
    <x v="50"/>
    <x v="3"/>
    <n v="-3385"/>
  </r>
  <r>
    <x v="1"/>
    <x v="51"/>
    <x v="3"/>
    <n v="-35009"/>
  </r>
  <r>
    <x v="1"/>
    <x v="52"/>
    <x v="3"/>
    <n v="32790"/>
  </r>
  <r>
    <x v="1"/>
    <x v="53"/>
    <x v="3"/>
    <n v="378"/>
  </r>
  <r>
    <x v="1"/>
    <x v="54"/>
    <x v="3"/>
    <n v="33168"/>
  </r>
  <r>
    <x v="1"/>
    <x v="55"/>
    <x v="3"/>
    <n v="86174"/>
  </r>
  <r>
    <x v="1"/>
    <x v="17"/>
    <x v="4"/>
    <n v="10414"/>
  </r>
  <r>
    <x v="1"/>
    <x v="18"/>
    <x v="4"/>
    <n v="6707"/>
  </r>
  <r>
    <x v="1"/>
    <x v="19"/>
    <x v="4"/>
    <n v="17121"/>
  </r>
  <r>
    <x v="1"/>
    <x v="20"/>
    <x v="4"/>
    <n v="3147"/>
  </r>
  <r>
    <x v="1"/>
    <x v="21"/>
    <x v="4"/>
    <n v="4873"/>
  </r>
  <r>
    <x v="1"/>
    <x v="22"/>
    <x v="4"/>
    <n v="3277"/>
  </r>
  <r>
    <x v="1"/>
    <x v="23"/>
    <x v="4"/>
    <n v="2886"/>
  </r>
  <r>
    <x v="1"/>
    <x v="24"/>
    <x v="4"/>
    <n v="0"/>
  </r>
  <r>
    <x v="1"/>
    <x v="24"/>
    <x v="4"/>
    <n v="0"/>
  </r>
  <r>
    <x v="1"/>
    <x v="25"/>
    <x v="4"/>
    <n v="31304"/>
  </r>
  <r>
    <x v="1"/>
    <x v="26"/>
    <x v="4"/>
    <n v="10393"/>
  </r>
  <r>
    <x v="1"/>
    <x v="27"/>
    <x v="4"/>
    <n v="1119"/>
  </r>
  <r>
    <x v="1"/>
    <x v="28"/>
    <x v="4"/>
    <n v="4661"/>
  </r>
  <r>
    <x v="1"/>
    <x v="29"/>
    <x v="4"/>
    <n v="14967"/>
  </r>
  <r>
    <x v="1"/>
    <x v="30"/>
    <x v="4"/>
    <n v="0"/>
  </r>
  <r>
    <x v="1"/>
    <x v="31"/>
    <x v="4"/>
    <n v="6744"/>
  </r>
  <r>
    <x v="1"/>
    <x v="32"/>
    <x v="4"/>
    <n v="7415"/>
  </r>
  <r>
    <x v="1"/>
    <x v="33"/>
    <x v="4"/>
    <n v="12312"/>
  </r>
  <r>
    <x v="1"/>
    <x v="34"/>
    <x v="4"/>
    <n v="1140"/>
  </r>
  <r>
    <x v="1"/>
    <x v="35"/>
    <x v="4"/>
    <n v="90055"/>
  </r>
  <r>
    <x v="1"/>
    <x v="36"/>
    <x v="4"/>
    <n v="0"/>
  </r>
  <r>
    <x v="1"/>
    <x v="37"/>
    <x v="4"/>
    <n v="9577"/>
  </r>
  <r>
    <x v="1"/>
    <x v="38"/>
    <x v="4"/>
    <n v="16901"/>
  </r>
  <r>
    <x v="1"/>
    <x v="39"/>
    <x v="4"/>
    <n v="1024"/>
  </r>
  <r>
    <x v="1"/>
    <x v="40"/>
    <x v="4"/>
    <n v="309"/>
  </r>
  <r>
    <x v="1"/>
    <x v="41"/>
    <x v="4"/>
    <n v="0"/>
  </r>
  <r>
    <x v="1"/>
    <x v="42"/>
    <x v="4"/>
    <n v="0"/>
  </r>
  <r>
    <x v="1"/>
    <x v="43"/>
    <x v="4"/>
    <n v="27811"/>
  </r>
  <r>
    <x v="1"/>
    <x v="44"/>
    <x v="4"/>
    <n v="19154"/>
  </r>
  <r>
    <x v="1"/>
    <x v="45"/>
    <x v="4"/>
    <n v="3498"/>
  </r>
  <r>
    <x v="1"/>
    <x v="46"/>
    <x v="4"/>
    <n v="6152"/>
  </r>
  <r>
    <x v="1"/>
    <x v="47"/>
    <x v="4"/>
    <n v="1760"/>
  </r>
  <r>
    <x v="1"/>
    <x v="48"/>
    <x v="4"/>
    <n v="12276"/>
  </r>
  <r>
    <x v="1"/>
    <x v="49"/>
    <x v="4"/>
    <n v="61660"/>
  </r>
  <r>
    <x v="1"/>
    <x v="50"/>
    <x v="4"/>
    <n v="-3432"/>
  </r>
  <r>
    <x v="1"/>
    <x v="51"/>
    <x v="4"/>
    <n v="-39091"/>
  </r>
  <r>
    <x v="1"/>
    <x v="52"/>
    <x v="4"/>
    <n v="33173"/>
  </r>
  <r>
    <x v="1"/>
    <x v="53"/>
    <x v="4"/>
    <n v="267"/>
  </r>
  <r>
    <x v="1"/>
    <x v="54"/>
    <x v="4"/>
    <n v="33440"/>
  </r>
  <r>
    <x v="1"/>
    <x v="55"/>
    <x v="4"/>
    <n v="90055"/>
  </r>
  <r>
    <x v="1"/>
    <x v="17"/>
    <x v="5"/>
    <n v="8958"/>
  </r>
  <r>
    <x v="1"/>
    <x v="18"/>
    <x v="5"/>
    <n v="9052"/>
  </r>
  <r>
    <x v="1"/>
    <x v="19"/>
    <x v="5"/>
    <n v="18010"/>
  </r>
  <r>
    <x v="1"/>
    <x v="20"/>
    <x v="5"/>
    <n v="3665"/>
  </r>
  <r>
    <x v="1"/>
    <x v="21"/>
    <x v="5"/>
    <n v="4466"/>
  </r>
  <r>
    <x v="1"/>
    <x v="22"/>
    <x v="5"/>
    <n v="3100"/>
  </r>
  <r>
    <x v="1"/>
    <x v="23"/>
    <x v="5"/>
    <n v="3066"/>
  </r>
  <r>
    <x v="1"/>
    <x v="24"/>
    <x v="5"/>
    <n v="679"/>
  </r>
  <r>
    <x v="1"/>
    <x v="24"/>
    <x v="5"/>
    <n v="0"/>
  </r>
  <r>
    <x v="1"/>
    <x v="25"/>
    <x v="5"/>
    <n v="32986"/>
  </r>
  <r>
    <x v="1"/>
    <x v="26"/>
    <x v="5"/>
    <n v="9947"/>
  </r>
  <r>
    <x v="1"/>
    <x v="27"/>
    <x v="5"/>
    <n v="3678"/>
  </r>
  <r>
    <x v="1"/>
    <x v="28"/>
    <x v="5"/>
    <n v="4407"/>
  </r>
  <r>
    <x v="1"/>
    <x v="29"/>
    <x v="5"/>
    <n v="14633"/>
  </r>
  <r>
    <x v="1"/>
    <x v="30"/>
    <x v="5"/>
    <n v="0"/>
  </r>
  <r>
    <x v="1"/>
    <x v="31"/>
    <x v="5"/>
    <n v="6533"/>
  </r>
  <r>
    <x v="1"/>
    <x v="32"/>
    <x v="5"/>
    <n v="6689"/>
  </r>
  <r>
    <x v="1"/>
    <x v="33"/>
    <x v="5"/>
    <n v="12100"/>
  </r>
  <r>
    <x v="1"/>
    <x v="34"/>
    <x v="5"/>
    <n v="1050"/>
  </r>
  <r>
    <x v="1"/>
    <x v="35"/>
    <x v="5"/>
    <n v="92023"/>
  </r>
  <r>
    <x v="1"/>
    <x v="36"/>
    <x v="5"/>
    <n v="0"/>
  </r>
  <r>
    <x v="1"/>
    <x v="37"/>
    <x v="5"/>
    <n v="9234"/>
  </r>
  <r>
    <x v="1"/>
    <x v="38"/>
    <x v="5"/>
    <n v="19130"/>
  </r>
  <r>
    <x v="1"/>
    <x v="39"/>
    <x v="5"/>
    <n v="3552"/>
  </r>
  <r>
    <x v="1"/>
    <x v="40"/>
    <x v="5"/>
    <n v="400"/>
  </r>
  <r>
    <x v="1"/>
    <x v="41"/>
    <x v="5"/>
    <n v="58"/>
  </r>
  <r>
    <x v="1"/>
    <x v="42"/>
    <x v="5"/>
    <n v="0"/>
  </r>
  <r>
    <x v="1"/>
    <x v="43"/>
    <x v="5"/>
    <n v="32374"/>
  </r>
  <r>
    <x v="1"/>
    <x v="44"/>
    <x v="5"/>
    <n v="19063"/>
  </r>
  <r>
    <x v="1"/>
    <x v="45"/>
    <x v="5"/>
    <n v="4389"/>
  </r>
  <r>
    <x v="1"/>
    <x v="46"/>
    <x v="5"/>
    <n v="5636"/>
  </r>
  <r>
    <x v="1"/>
    <x v="47"/>
    <x v="5"/>
    <n v="1760"/>
  </r>
  <r>
    <x v="1"/>
    <x v="48"/>
    <x v="5"/>
    <n v="13154"/>
  </r>
  <r>
    <x v="1"/>
    <x v="49"/>
    <x v="5"/>
    <n v="63408"/>
  </r>
  <r>
    <x v="1"/>
    <x v="50"/>
    <x v="5"/>
    <n v="-5777"/>
  </r>
  <r>
    <x v="1"/>
    <x v="51"/>
    <x v="5"/>
    <n v="-42225"/>
  </r>
  <r>
    <x v="1"/>
    <x v="52"/>
    <x v="5"/>
    <n v="30320"/>
  </r>
  <r>
    <x v="1"/>
    <x v="53"/>
    <x v="5"/>
    <n v="241"/>
  </r>
  <r>
    <x v="1"/>
    <x v="54"/>
    <x v="5"/>
    <n v="30561"/>
  </r>
  <r>
    <x v="1"/>
    <x v="55"/>
    <x v="5"/>
    <n v="92023"/>
  </r>
  <r>
    <x v="1"/>
    <x v="17"/>
    <x v="6"/>
    <n v="7309"/>
  </r>
  <r>
    <x v="1"/>
    <x v="18"/>
    <x v="6"/>
    <n v="8322"/>
  </r>
  <r>
    <x v="1"/>
    <x v="19"/>
    <x v="6"/>
    <n v="15631"/>
  </r>
  <r>
    <x v="1"/>
    <x v="20"/>
    <x v="6"/>
    <n v="4269"/>
  </r>
  <r>
    <x v="1"/>
    <x v="21"/>
    <x v="6"/>
    <n v="3941"/>
  </r>
  <r>
    <x v="1"/>
    <x v="22"/>
    <x v="6"/>
    <n v="2902"/>
  </r>
  <r>
    <x v="1"/>
    <x v="23"/>
    <x v="6"/>
    <n v="2752"/>
  </r>
  <r>
    <x v="1"/>
    <x v="24"/>
    <x v="6"/>
    <n v="3900"/>
  </r>
  <r>
    <x v="1"/>
    <x v="24"/>
    <x v="6"/>
    <n v="0"/>
  </r>
  <r>
    <x v="1"/>
    <x v="25"/>
    <x v="6"/>
    <n v="33395"/>
  </r>
  <r>
    <x v="1"/>
    <x v="26"/>
    <x v="6"/>
    <n v="12318"/>
  </r>
  <r>
    <x v="1"/>
    <x v="27"/>
    <x v="6"/>
    <n v="3470"/>
  </r>
  <r>
    <x v="1"/>
    <x v="28"/>
    <x v="6"/>
    <n v="4110"/>
  </r>
  <r>
    <x v="1"/>
    <x v="29"/>
    <x v="6"/>
    <n v="12571"/>
  </r>
  <r>
    <x v="1"/>
    <x v="30"/>
    <x v="6"/>
    <n v="0"/>
  </r>
  <r>
    <x v="1"/>
    <x v="31"/>
    <x v="6"/>
    <n v="5989"/>
  </r>
  <r>
    <x v="1"/>
    <x v="32"/>
    <x v="6"/>
    <n v="6000"/>
  </r>
  <r>
    <x v="1"/>
    <x v="33"/>
    <x v="6"/>
    <n v="11289"/>
  </r>
  <r>
    <x v="1"/>
    <x v="34"/>
    <x v="6"/>
    <n v="854"/>
  </r>
  <r>
    <x v="1"/>
    <x v="35"/>
    <x v="6"/>
    <n v="89996"/>
  </r>
  <r>
    <x v="1"/>
    <x v="36"/>
    <x v="6"/>
    <n v="0"/>
  </r>
  <r>
    <x v="1"/>
    <x v="37"/>
    <x v="6"/>
    <n v="9660"/>
  </r>
  <r>
    <x v="1"/>
    <x v="38"/>
    <x v="6"/>
    <n v="13129"/>
  </r>
  <r>
    <x v="1"/>
    <x v="39"/>
    <x v="6"/>
    <n v="2676"/>
  </r>
  <r>
    <x v="1"/>
    <x v="40"/>
    <x v="6"/>
    <n v="331"/>
  </r>
  <r>
    <x v="1"/>
    <x v="41"/>
    <x v="6"/>
    <n v="1133"/>
  </r>
  <r>
    <x v="1"/>
    <x v="42"/>
    <x v="6"/>
    <n v="0"/>
  </r>
  <r>
    <x v="1"/>
    <x v="43"/>
    <x v="6"/>
    <n v="26929"/>
  </r>
  <r>
    <x v="1"/>
    <x v="44"/>
    <x v="6"/>
    <n v="28311"/>
  </r>
  <r>
    <x v="1"/>
    <x v="45"/>
    <x v="6"/>
    <n v="4301"/>
  </r>
  <r>
    <x v="1"/>
    <x v="46"/>
    <x v="6"/>
    <n v="4691"/>
  </r>
  <r>
    <x v="1"/>
    <x v="47"/>
    <x v="6"/>
    <n v="1760"/>
  </r>
  <r>
    <x v="1"/>
    <x v="48"/>
    <x v="6"/>
    <n v="14016"/>
  </r>
  <r>
    <x v="1"/>
    <x v="49"/>
    <x v="6"/>
    <n v="65018"/>
  </r>
  <r>
    <x v="1"/>
    <x v="50"/>
    <x v="6"/>
    <n v="-10174"/>
  </r>
  <r>
    <x v="1"/>
    <x v="51"/>
    <x v="6"/>
    <n v="-45066"/>
  </r>
  <r>
    <x v="1"/>
    <x v="52"/>
    <x v="6"/>
    <n v="25554"/>
  </r>
  <r>
    <x v="1"/>
    <x v="53"/>
    <x v="6"/>
    <n v="210"/>
  </r>
  <r>
    <x v="1"/>
    <x v="54"/>
    <x v="6"/>
    <n v="25764"/>
  </r>
  <r>
    <x v="1"/>
    <x v="55"/>
    <x v="6"/>
    <n v="89996"/>
  </r>
  <r>
    <x v="1"/>
    <x v="17"/>
    <x v="7"/>
    <n v="8555"/>
  </r>
  <r>
    <x v="1"/>
    <x v="18"/>
    <x v="7"/>
    <n v="9595"/>
  </r>
  <r>
    <x v="1"/>
    <x v="19"/>
    <x v="7"/>
    <n v="18150"/>
  </r>
  <r>
    <x v="1"/>
    <x v="20"/>
    <x v="7"/>
    <n v="4051"/>
  </r>
  <r>
    <x v="1"/>
    <x v="21"/>
    <x v="7"/>
    <n v="3856"/>
  </r>
  <r>
    <x v="1"/>
    <x v="22"/>
    <x v="7"/>
    <n v="2675"/>
  </r>
  <r>
    <x v="1"/>
    <x v="23"/>
    <x v="7"/>
    <n v="2481"/>
  </r>
  <r>
    <x v="1"/>
    <x v="24"/>
    <x v="7"/>
    <n v="0"/>
  </r>
  <r>
    <x v="1"/>
    <x v="24"/>
    <x v="7"/>
    <n v="2797"/>
  </r>
  <r>
    <x v="1"/>
    <x v="25"/>
    <x v="7"/>
    <n v="34010"/>
  </r>
  <r>
    <x v="1"/>
    <x v="26"/>
    <x v="7"/>
    <n v="16260"/>
  </r>
  <r>
    <x v="1"/>
    <x v="27"/>
    <x v="7"/>
    <n v="989"/>
  </r>
  <r>
    <x v="1"/>
    <x v="28"/>
    <x v="7"/>
    <n v="4248"/>
  </r>
  <r>
    <x v="1"/>
    <x v="29"/>
    <x v="7"/>
    <n v="10635"/>
  </r>
  <r>
    <x v="1"/>
    <x v="30"/>
    <x v="7"/>
    <n v="0"/>
  </r>
  <r>
    <x v="1"/>
    <x v="31"/>
    <x v="7"/>
    <n v="6097"/>
  </r>
  <r>
    <x v="1"/>
    <x v="32"/>
    <x v="7"/>
    <n v="3676"/>
  </r>
  <r>
    <x v="1"/>
    <x v="33"/>
    <x v="7"/>
    <n v="10629"/>
  </r>
  <r>
    <x v="1"/>
    <x v="34"/>
    <x v="7"/>
    <n v="726"/>
  </r>
  <r>
    <x v="1"/>
    <x v="35"/>
    <x v="7"/>
    <n v="87270"/>
  </r>
  <r>
    <x v="1"/>
    <x v="36"/>
    <x v="7"/>
    <n v="0"/>
  </r>
  <r>
    <x v="1"/>
    <x v="37"/>
    <x v="7"/>
    <n v="9490"/>
  </r>
  <r>
    <x v="1"/>
    <x v="38"/>
    <x v="7"/>
    <n v="12498"/>
  </r>
  <r>
    <x v="1"/>
    <x v="39"/>
    <x v="7"/>
    <n v="3527"/>
  </r>
  <r>
    <x v="1"/>
    <x v="40"/>
    <x v="7"/>
    <n v="307"/>
  </r>
  <r>
    <x v="1"/>
    <x v="41"/>
    <x v="7"/>
    <n v="710"/>
  </r>
  <r>
    <x v="1"/>
    <x v="42"/>
    <x v="7"/>
    <n v="0"/>
  </r>
  <r>
    <x v="1"/>
    <x v="43"/>
    <x v="7"/>
    <n v="26532"/>
  </r>
  <r>
    <x v="1"/>
    <x v="44"/>
    <x v="7"/>
    <n v="29684"/>
  </r>
  <r>
    <x v="1"/>
    <x v="45"/>
    <x v="7"/>
    <n v="4081"/>
  </r>
  <r>
    <x v="1"/>
    <x v="46"/>
    <x v="7"/>
    <n v="3753"/>
  </r>
  <r>
    <x v="1"/>
    <x v="47"/>
    <x v="7"/>
    <n v="1760"/>
  </r>
  <r>
    <x v="1"/>
    <x v="48"/>
    <x v="7"/>
    <n v="14993"/>
  </r>
  <r>
    <x v="1"/>
    <x v="49"/>
    <x v="7"/>
    <n v="65502"/>
  </r>
  <r>
    <x v="1"/>
    <x v="50"/>
    <x v="7"/>
    <n v="-11205"/>
  </r>
  <r>
    <x v="1"/>
    <x v="51"/>
    <x v="7"/>
    <n v="-47988"/>
  </r>
  <r>
    <x v="1"/>
    <x v="52"/>
    <x v="7"/>
    <n v="23062"/>
  </r>
  <r>
    <x v="1"/>
    <x v="53"/>
    <x v="7"/>
    <n v="158"/>
  </r>
  <r>
    <x v="1"/>
    <x v="54"/>
    <x v="7"/>
    <n v="23220"/>
  </r>
  <r>
    <x v="1"/>
    <x v="55"/>
    <x v="7"/>
    <n v="87270"/>
  </r>
  <r>
    <x v="1"/>
    <x v="17"/>
    <x v="8"/>
    <n v="6006"/>
  </r>
  <r>
    <x v="1"/>
    <x v="18"/>
    <x v="8"/>
    <n v="9352"/>
  </r>
  <r>
    <x v="1"/>
    <x v="19"/>
    <x v="8"/>
    <n v="15358"/>
  </r>
  <r>
    <x v="1"/>
    <x v="20"/>
    <x v="8"/>
    <n v="5317"/>
  </r>
  <r>
    <x v="1"/>
    <x v="21"/>
    <x v="8"/>
    <n v="3667"/>
  </r>
  <r>
    <x v="1"/>
    <x v="22"/>
    <x v="8"/>
    <n v="2655"/>
  </r>
  <r>
    <x v="1"/>
    <x v="23"/>
    <x v="8"/>
    <n v="2000"/>
  </r>
  <r>
    <x v="1"/>
    <x v="24"/>
    <x v="8"/>
    <n v="7329"/>
  </r>
  <r>
    <x v="1"/>
    <x v="24"/>
    <x v="8"/>
    <n v="219"/>
  </r>
  <r>
    <x v="1"/>
    <x v="25"/>
    <x v="8"/>
    <n v="36545"/>
  </r>
  <r>
    <x v="1"/>
    <x v="26"/>
    <x v="8"/>
    <n v="20856"/>
  </r>
  <r>
    <x v="1"/>
    <x v="27"/>
    <x v="8"/>
    <n v="1096"/>
  </r>
  <r>
    <x v="1"/>
    <x v="28"/>
    <x v="8"/>
    <n v="4230"/>
  </r>
  <r>
    <x v="1"/>
    <x v="29"/>
    <x v="8"/>
    <n v="8203"/>
  </r>
  <r>
    <x v="1"/>
    <x v="30"/>
    <x v="8"/>
    <n v="330"/>
  </r>
  <r>
    <x v="1"/>
    <x v="31"/>
    <x v="8"/>
    <n v="6729"/>
  </r>
  <r>
    <x v="1"/>
    <x v="32"/>
    <x v="8"/>
    <n v="138"/>
  </r>
  <r>
    <x v="1"/>
    <x v="33"/>
    <x v="8"/>
    <n v="9401"/>
  </r>
  <r>
    <x v="1"/>
    <x v="34"/>
    <x v="8"/>
    <n v="368"/>
  </r>
  <r>
    <x v="1"/>
    <x v="35"/>
    <x v="8"/>
    <n v="87896"/>
  </r>
  <r>
    <x v="1"/>
    <x v="36"/>
    <x v="8"/>
    <n v="0"/>
  </r>
  <r>
    <x v="1"/>
    <x v="37"/>
    <x v="8"/>
    <n v="8748"/>
  </r>
  <r>
    <x v="1"/>
    <x v="38"/>
    <x v="8"/>
    <n v="13205"/>
  </r>
  <r>
    <x v="1"/>
    <x v="39"/>
    <x v="8"/>
    <n v="3298"/>
  </r>
  <r>
    <x v="1"/>
    <x v="40"/>
    <x v="8"/>
    <n v="410"/>
  </r>
  <r>
    <x v="1"/>
    <x v="41"/>
    <x v="8"/>
    <n v="37"/>
  </r>
  <r>
    <x v="1"/>
    <x v="42"/>
    <x v="8"/>
    <n v="1496"/>
  </r>
  <r>
    <x v="1"/>
    <x v="43"/>
    <x v="8"/>
    <n v="27194"/>
  </r>
  <r>
    <x v="1"/>
    <x v="44"/>
    <x v="8"/>
    <n v="31182"/>
  </r>
  <r>
    <x v="1"/>
    <x v="45"/>
    <x v="8"/>
    <n v="8021"/>
  </r>
  <r>
    <x v="1"/>
    <x v="46"/>
    <x v="8"/>
    <n v="2522"/>
  </r>
  <r>
    <x v="1"/>
    <x v="47"/>
    <x v="8"/>
    <n v="1760"/>
  </r>
  <r>
    <x v="1"/>
    <x v="48"/>
    <x v="8"/>
    <n v="15864"/>
  </r>
  <r>
    <x v="1"/>
    <x v="49"/>
    <x v="8"/>
    <n v="60430"/>
  </r>
  <r>
    <x v="1"/>
    <x v="50"/>
    <x v="8"/>
    <n v="-10305"/>
  </r>
  <r>
    <x v="1"/>
    <x v="51"/>
    <x v="8"/>
    <n v="-50677"/>
  </r>
  <r>
    <x v="1"/>
    <x v="52"/>
    <x v="8"/>
    <n v="17072"/>
  </r>
  <r>
    <x v="1"/>
    <x v="53"/>
    <x v="8"/>
    <n v="1905"/>
  </r>
  <r>
    <x v="1"/>
    <x v="54"/>
    <x v="8"/>
    <n v="18977"/>
  </r>
  <r>
    <x v="1"/>
    <x v="55"/>
    <x v="8"/>
    <n v="87896"/>
  </r>
  <r>
    <x v="1"/>
    <x v="17"/>
    <x v="9"/>
    <n v="0"/>
  </r>
  <r>
    <x v="1"/>
    <x v="18"/>
    <x v="9"/>
    <n v="8926"/>
  </r>
  <r>
    <x v="1"/>
    <x v="19"/>
    <x v="9"/>
    <n v="2025"/>
  </r>
  <r>
    <x v="1"/>
    <x v="20"/>
    <x v="9"/>
    <n v="10951"/>
  </r>
  <r>
    <x v="1"/>
    <x v="21"/>
    <x v="9"/>
    <n v="5013"/>
  </r>
  <r>
    <x v="1"/>
    <x v="22"/>
    <x v="9"/>
    <n v="3396"/>
  </r>
  <r>
    <x v="1"/>
    <x v="23"/>
    <x v="9"/>
    <n v="2766"/>
  </r>
  <r>
    <x v="1"/>
    <x v="24"/>
    <x v="9"/>
    <n v="1962"/>
  </r>
  <r>
    <x v="1"/>
    <x v="24"/>
    <x v="9"/>
    <n v="6546"/>
  </r>
  <r>
    <x v="1"/>
    <x v="25"/>
    <x v="9"/>
    <n v="0"/>
  </r>
  <r>
    <x v="1"/>
    <x v="26"/>
    <x v="9"/>
    <n v="30634"/>
  </r>
  <r>
    <x v="1"/>
    <x v="27"/>
    <x v="9"/>
    <n v="19407"/>
  </r>
  <r>
    <x v="1"/>
    <x v="28"/>
    <x v="9"/>
    <n v="867"/>
  </r>
  <r>
    <x v="1"/>
    <x v="29"/>
    <x v="9"/>
    <n v="4139"/>
  </r>
  <r>
    <x v="1"/>
    <x v="30"/>
    <x v="9"/>
    <n v="8232"/>
  </r>
  <r>
    <x v="1"/>
    <x v="31"/>
    <x v="9"/>
    <n v="2667"/>
  </r>
  <r>
    <x v="1"/>
    <x v="32"/>
    <x v="9"/>
    <n v="6682"/>
  </r>
  <r>
    <x v="1"/>
    <x v="33"/>
    <x v="9"/>
    <n v="51"/>
  </r>
  <r>
    <x v="1"/>
    <x v="34"/>
    <x v="9"/>
    <n v="10263"/>
  </r>
  <r>
    <x v="1"/>
    <x v="35"/>
    <x v="9"/>
    <n v="274"/>
  </r>
  <r>
    <x v="1"/>
    <x v="36"/>
    <x v="9"/>
    <n v="83216"/>
  </r>
  <r>
    <x v="1"/>
    <x v="37"/>
    <x v="9"/>
    <n v="0"/>
  </r>
  <r>
    <x v="1"/>
    <x v="38"/>
    <x v="9"/>
    <n v="8932"/>
  </r>
  <r>
    <x v="1"/>
    <x v="39"/>
    <x v="9"/>
    <n v="13194"/>
  </r>
  <r>
    <x v="1"/>
    <x v="40"/>
    <x v="9"/>
    <n v="4997"/>
  </r>
  <r>
    <x v="1"/>
    <x v="41"/>
    <x v="9"/>
    <n v="378"/>
  </r>
  <r>
    <x v="1"/>
    <x v="42"/>
    <x v="9"/>
    <n v="0"/>
  </r>
  <r>
    <x v="1"/>
    <x v="43"/>
    <x v="9"/>
    <n v="1722"/>
  </r>
  <r>
    <x v="1"/>
    <x v="44"/>
    <x v="9"/>
    <n v="29223"/>
  </r>
  <r>
    <x v="1"/>
    <x v="45"/>
    <x v="9"/>
    <n v="25364"/>
  </r>
  <r>
    <x v="1"/>
    <x v="46"/>
    <x v="9"/>
    <n v="7638"/>
  </r>
  <r>
    <x v="1"/>
    <x v="47"/>
    <x v="9"/>
    <n v="1933"/>
  </r>
  <r>
    <x v="1"/>
    <x v="48"/>
    <x v="9"/>
    <n v="1760"/>
  </r>
  <r>
    <x v="1"/>
    <x v="49"/>
    <x v="9"/>
    <n v="16520"/>
  </r>
  <r>
    <x v="1"/>
    <x v="50"/>
    <x v="9"/>
    <n v="63234"/>
  </r>
  <r>
    <x v="1"/>
    <x v="51"/>
    <x v="9"/>
    <n v="-12814"/>
  </r>
  <r>
    <x v="1"/>
    <x v="52"/>
    <x v="9"/>
    <n v="-51719"/>
  </r>
  <r>
    <x v="1"/>
    <x v="53"/>
    <x v="9"/>
    <n v="16981"/>
  </r>
  <r>
    <x v="1"/>
    <x v="54"/>
    <x v="9"/>
    <n v="2077"/>
  </r>
  <r>
    <x v="1"/>
    <x v="55"/>
    <x v="9"/>
    <n v="19058"/>
  </r>
  <r>
    <x v="2"/>
    <x v="12"/>
    <x v="0"/>
    <n v="6906"/>
  </r>
  <r>
    <x v="2"/>
    <x v="56"/>
    <x v="0"/>
    <n v="1236"/>
  </r>
  <r>
    <x v="2"/>
    <x v="57"/>
    <x v="0"/>
    <n v="0"/>
  </r>
  <r>
    <x v="2"/>
    <x v="14"/>
    <x v="0"/>
    <n v="0"/>
  </r>
  <r>
    <x v="2"/>
    <x v="58"/>
    <x v="0"/>
    <n v="241"/>
  </r>
  <r>
    <x v="2"/>
    <x v="46"/>
    <x v="0"/>
    <n v="353"/>
  </r>
  <r>
    <x v="2"/>
    <x v="59"/>
    <x v="0"/>
    <n v="-359"/>
  </r>
  <r>
    <x v="2"/>
    <x v="60"/>
    <x v="0"/>
    <n v="61"/>
  </r>
  <r>
    <x v="2"/>
    <x v="61"/>
    <x v="0"/>
    <n v="-43"/>
  </r>
  <r>
    <x v="2"/>
    <x v="62"/>
    <x v="0"/>
    <n v="0"/>
  </r>
  <r>
    <x v="2"/>
    <x v="4"/>
    <x v="0"/>
    <n v="134"/>
  </r>
  <r>
    <x v="2"/>
    <x v="63"/>
    <x v="0"/>
    <n v="221"/>
  </r>
  <r>
    <x v="2"/>
    <x v="64"/>
    <x v="0"/>
    <n v="-564"/>
  </r>
  <r>
    <x v="2"/>
    <x v="65"/>
    <x v="0"/>
    <n v="8186"/>
  </r>
  <r>
    <x v="2"/>
    <x v="66"/>
    <x v="0"/>
    <n v="-2130"/>
  </r>
  <r>
    <x v="2"/>
    <x v="67"/>
    <x v="0"/>
    <n v="-22"/>
  </r>
  <r>
    <x v="2"/>
    <x v="68"/>
    <x v="0"/>
    <n v="0"/>
  </r>
  <r>
    <x v="2"/>
    <x v="69"/>
    <x v="0"/>
    <n v="-300"/>
  </r>
  <r>
    <x v="2"/>
    <x v="70"/>
    <x v="0"/>
    <n v="240"/>
  </r>
  <r>
    <x v="2"/>
    <x v="71"/>
    <x v="0"/>
    <n v="-1993"/>
  </r>
  <r>
    <x v="2"/>
    <x v="72"/>
    <x v="0"/>
    <n v="104"/>
  </r>
  <r>
    <x v="2"/>
    <x v="73"/>
    <x v="0"/>
    <n v="-48"/>
  </r>
  <r>
    <x v="2"/>
    <x v="74"/>
    <x v="0"/>
    <n v="-4149"/>
  </r>
  <r>
    <x v="2"/>
    <x v="75"/>
    <x v="0"/>
    <n v="14689"/>
  </r>
  <r>
    <x v="2"/>
    <x v="76"/>
    <x v="0"/>
    <n v="-12326"/>
  </r>
  <r>
    <x v="2"/>
    <x v="77"/>
    <x v="0"/>
    <n v="664"/>
  </r>
  <r>
    <x v="2"/>
    <x v="78"/>
    <x v="0"/>
    <n v="-1518"/>
  </r>
  <r>
    <x v="2"/>
    <x v="79"/>
    <x v="0"/>
    <n v="-3800"/>
  </r>
  <r>
    <x v="2"/>
    <x v="80"/>
    <x v="0"/>
    <n v="-2"/>
  </r>
  <r>
    <x v="2"/>
    <x v="81"/>
    <x v="0"/>
    <n v="-2293"/>
  </r>
  <r>
    <x v="2"/>
    <x v="82"/>
    <x v="0"/>
    <n v="0"/>
  </r>
  <r>
    <x v="2"/>
    <x v="83"/>
    <x v="0"/>
    <n v="576"/>
  </r>
  <r>
    <x v="2"/>
    <x v="84"/>
    <x v="0"/>
    <n v="0"/>
  </r>
  <r>
    <x v="2"/>
    <x v="85"/>
    <x v="0"/>
    <n v="0"/>
  </r>
  <r>
    <x v="2"/>
    <x v="86"/>
    <x v="0"/>
    <n v="0"/>
  </r>
  <r>
    <x v="2"/>
    <x v="87"/>
    <x v="0"/>
    <n v="2320"/>
  </r>
  <r>
    <x v="2"/>
    <x v="12"/>
    <x v="1"/>
    <n v="11837"/>
  </r>
  <r>
    <x v="2"/>
    <x v="56"/>
    <x v="1"/>
    <n v="1443"/>
  </r>
  <r>
    <x v="2"/>
    <x v="57"/>
    <x v="1"/>
    <n v="0"/>
  </r>
  <r>
    <x v="2"/>
    <x v="14"/>
    <x v="1"/>
    <n v="0"/>
  </r>
  <r>
    <x v="2"/>
    <x v="58"/>
    <x v="1"/>
    <n v="380"/>
  </r>
  <r>
    <x v="2"/>
    <x v="46"/>
    <x v="1"/>
    <n v="604"/>
  </r>
  <r>
    <x v="2"/>
    <x v="59"/>
    <x v="1"/>
    <n v="-671"/>
  </r>
  <r>
    <x v="2"/>
    <x v="60"/>
    <x v="1"/>
    <n v="151"/>
  </r>
  <r>
    <x v="2"/>
    <x v="61"/>
    <x v="1"/>
    <n v="-645"/>
  </r>
  <r>
    <x v="2"/>
    <x v="62"/>
    <x v="1"/>
    <n v="-4713"/>
  </r>
  <r>
    <x v="2"/>
    <x v="4"/>
    <x v="1"/>
    <n v="264"/>
  </r>
  <r>
    <x v="2"/>
    <x v="63"/>
    <x v="1"/>
    <n v="512"/>
  </r>
  <r>
    <x v="2"/>
    <x v="64"/>
    <x v="1"/>
    <n v="370"/>
  </r>
  <r>
    <x v="2"/>
    <x v="65"/>
    <x v="1"/>
    <n v="9532"/>
  </r>
  <r>
    <x v="2"/>
    <x v="66"/>
    <x v="1"/>
    <n v="-4579"/>
  </r>
  <r>
    <x v="2"/>
    <x v="67"/>
    <x v="1"/>
    <n v="-132"/>
  </r>
  <r>
    <x v="2"/>
    <x v="68"/>
    <x v="1"/>
    <n v="4032"/>
  </r>
  <r>
    <x v="2"/>
    <x v="69"/>
    <x v="1"/>
    <n v="-2511"/>
  </r>
  <r>
    <x v="2"/>
    <x v="70"/>
    <x v="1"/>
    <n v="972"/>
  </r>
  <r>
    <x v="2"/>
    <x v="71"/>
    <x v="1"/>
    <n v="-2215"/>
  </r>
  <r>
    <x v="2"/>
    <x v="72"/>
    <x v="1"/>
    <n v="134"/>
  </r>
  <r>
    <x v="2"/>
    <x v="73"/>
    <x v="1"/>
    <n v="-106"/>
  </r>
  <r>
    <x v="2"/>
    <x v="74"/>
    <x v="1"/>
    <n v="-4405"/>
  </r>
  <r>
    <x v="2"/>
    <x v="75"/>
    <x v="1"/>
    <n v="15251"/>
  </r>
  <r>
    <x v="2"/>
    <x v="76"/>
    <x v="1"/>
    <n v="-13403"/>
  </r>
  <r>
    <x v="2"/>
    <x v="77"/>
    <x v="1"/>
    <n v="1666"/>
  </r>
  <r>
    <x v="2"/>
    <x v="78"/>
    <x v="1"/>
    <n v="-2961"/>
  </r>
  <r>
    <x v="2"/>
    <x v="79"/>
    <x v="1"/>
    <n v="-4068"/>
  </r>
  <r>
    <x v="2"/>
    <x v="80"/>
    <x v="1"/>
    <n v="50"/>
  </r>
  <r>
    <x v="2"/>
    <x v="81"/>
    <x v="1"/>
    <n v="-3465"/>
  </r>
  <r>
    <x v="2"/>
    <x v="82"/>
    <x v="1"/>
    <n v="0"/>
  </r>
  <r>
    <x v="2"/>
    <x v="83"/>
    <x v="1"/>
    <n v="-166"/>
  </r>
  <r>
    <x v="2"/>
    <x v="84"/>
    <x v="1"/>
    <n v="0"/>
  </r>
  <r>
    <x v="2"/>
    <x v="85"/>
    <x v="1"/>
    <n v="0"/>
  </r>
  <r>
    <x v="2"/>
    <x v="86"/>
    <x v="1"/>
    <n v="0"/>
  </r>
  <r>
    <x v="2"/>
    <x v="87"/>
    <x v="1"/>
    <n v="1496"/>
  </r>
  <r>
    <x v="2"/>
    <x v="12"/>
    <x v="2"/>
    <n v="8646"/>
  </r>
  <r>
    <x v="2"/>
    <x v="56"/>
    <x v="2"/>
    <n v="1954"/>
  </r>
  <r>
    <x v="2"/>
    <x v="57"/>
    <x v="2"/>
    <n v="0"/>
  </r>
  <r>
    <x v="2"/>
    <x v="14"/>
    <x v="2"/>
    <n v="0"/>
  </r>
  <r>
    <x v="2"/>
    <x v="58"/>
    <x v="2"/>
    <n v="354"/>
  </r>
  <r>
    <x v="2"/>
    <x v="46"/>
    <x v="2"/>
    <n v="1035"/>
  </r>
  <r>
    <x v="2"/>
    <x v="59"/>
    <x v="2"/>
    <n v="-269"/>
  </r>
  <r>
    <x v="2"/>
    <x v="60"/>
    <x v="2"/>
    <n v="7"/>
  </r>
  <r>
    <x v="2"/>
    <x v="61"/>
    <x v="2"/>
    <n v="-220"/>
  </r>
  <r>
    <x v="2"/>
    <x v="62"/>
    <x v="2"/>
    <n v="0"/>
  </r>
  <r>
    <x v="2"/>
    <x v="4"/>
    <x v="2"/>
    <n v="214"/>
  </r>
  <r>
    <x v="2"/>
    <x v="63"/>
    <x v="2"/>
    <n v="-354"/>
  </r>
  <r>
    <x v="2"/>
    <x v="64"/>
    <x v="2"/>
    <n v="-1893"/>
  </r>
  <r>
    <x v="2"/>
    <x v="65"/>
    <x v="2"/>
    <n v="9474"/>
  </r>
  <r>
    <x v="2"/>
    <x v="66"/>
    <x v="2"/>
    <n v="0"/>
  </r>
  <r>
    <x v="2"/>
    <x v="67"/>
    <x v="2"/>
    <n v="-4798"/>
  </r>
  <r>
    <x v="2"/>
    <x v="68"/>
    <x v="2"/>
    <n v="5811"/>
  </r>
  <r>
    <x v="2"/>
    <x v="69"/>
    <x v="2"/>
    <n v="-971"/>
  </r>
  <r>
    <x v="2"/>
    <x v="70"/>
    <x v="2"/>
    <n v="398"/>
  </r>
  <r>
    <x v="2"/>
    <x v="71"/>
    <x v="2"/>
    <n v="-2920"/>
  </r>
  <r>
    <x v="2"/>
    <x v="72"/>
    <x v="2"/>
    <n v="101"/>
  </r>
  <r>
    <x v="2"/>
    <x v="73"/>
    <x v="2"/>
    <n v="-145"/>
  </r>
  <r>
    <x v="2"/>
    <x v="74"/>
    <x v="2"/>
    <n v="-2524"/>
  </r>
  <r>
    <x v="2"/>
    <x v="75"/>
    <x v="2"/>
    <n v="27495"/>
  </r>
  <r>
    <x v="2"/>
    <x v="76"/>
    <x v="2"/>
    <n v="-22530"/>
  </r>
  <r>
    <x v="2"/>
    <x v="77"/>
    <x v="2"/>
    <n v="1569"/>
  </r>
  <r>
    <x v="2"/>
    <x v="78"/>
    <x v="2"/>
    <n v="-4513"/>
  </r>
  <r>
    <x v="2"/>
    <x v="79"/>
    <x v="2"/>
    <n v="-4300"/>
  </r>
  <r>
    <x v="2"/>
    <x v="80"/>
    <x v="2"/>
    <n v="45"/>
  </r>
  <r>
    <x v="2"/>
    <x v="81"/>
    <x v="2"/>
    <n v="-2234"/>
  </r>
  <r>
    <x v="2"/>
    <x v="82"/>
    <x v="2"/>
    <n v="0"/>
  </r>
  <r>
    <x v="2"/>
    <x v="83"/>
    <x v="2"/>
    <n v="-430"/>
  </r>
  <r>
    <x v="2"/>
    <x v="84"/>
    <x v="2"/>
    <n v="0"/>
  </r>
  <r>
    <x v="2"/>
    <x v="85"/>
    <x v="2"/>
    <n v="0"/>
  </r>
  <r>
    <x v="2"/>
    <x v="86"/>
    <x v="2"/>
    <n v="0"/>
  </r>
  <r>
    <x v="2"/>
    <x v="87"/>
    <x v="2"/>
    <n v="4286"/>
  </r>
  <r>
    <x v="2"/>
    <x v="12"/>
    <x v="3"/>
    <n v="9086"/>
  </r>
  <r>
    <x v="2"/>
    <x v="56"/>
    <x v="3"/>
    <n v="1982"/>
  </r>
  <r>
    <x v="2"/>
    <x v="57"/>
    <x v="3"/>
    <n v="0"/>
  </r>
  <r>
    <x v="2"/>
    <x v="14"/>
    <x v="3"/>
    <n v="0"/>
  </r>
  <r>
    <x v="2"/>
    <x v="58"/>
    <x v="3"/>
    <n v="259"/>
  </r>
  <r>
    <x v="2"/>
    <x v="46"/>
    <x v="3"/>
    <n v="632"/>
  </r>
  <r>
    <x v="2"/>
    <x v="59"/>
    <x v="3"/>
    <n v="-426"/>
  </r>
  <r>
    <x v="2"/>
    <x v="60"/>
    <x v="3"/>
    <n v="-130"/>
  </r>
  <r>
    <x v="2"/>
    <x v="61"/>
    <x v="3"/>
    <n v="-98"/>
  </r>
  <r>
    <x v="2"/>
    <x v="62"/>
    <x v="3"/>
    <n v="0"/>
  </r>
  <r>
    <x v="2"/>
    <x v="4"/>
    <x v="3"/>
    <n v="166"/>
  </r>
  <r>
    <x v="2"/>
    <x v="63"/>
    <x v="3"/>
    <n v="254"/>
  </r>
  <r>
    <x v="2"/>
    <x v="64"/>
    <x v="3"/>
    <n v="-1080"/>
  </r>
  <r>
    <x v="2"/>
    <x v="65"/>
    <x v="3"/>
    <n v="10645"/>
  </r>
  <r>
    <x v="2"/>
    <x v="66"/>
    <x v="3"/>
    <n v="0"/>
  </r>
  <r>
    <x v="2"/>
    <x v="67"/>
    <x v="3"/>
    <n v="-14824"/>
  </r>
  <r>
    <x v="2"/>
    <x v="68"/>
    <x v="3"/>
    <n v="7791"/>
  </r>
  <r>
    <x v="2"/>
    <x v="69"/>
    <x v="3"/>
    <n v="-1486"/>
  </r>
  <r>
    <x v="2"/>
    <x v="70"/>
    <x v="3"/>
    <n v="20"/>
  </r>
  <r>
    <x v="2"/>
    <x v="71"/>
    <x v="3"/>
    <n v="-2780"/>
  </r>
  <r>
    <x v="2"/>
    <x v="72"/>
    <x v="3"/>
    <n v="143"/>
  </r>
  <r>
    <x v="2"/>
    <x v="73"/>
    <x v="3"/>
    <n v="-268"/>
  </r>
  <r>
    <x v="2"/>
    <x v="74"/>
    <x v="3"/>
    <n v="-11404"/>
  </r>
  <r>
    <x v="2"/>
    <x v="75"/>
    <x v="3"/>
    <n v="42791"/>
  </r>
  <r>
    <x v="2"/>
    <x v="76"/>
    <x v="3"/>
    <n v="-38573"/>
  </r>
  <r>
    <x v="2"/>
    <x v="77"/>
    <x v="3"/>
    <n v="1489"/>
  </r>
  <r>
    <x v="2"/>
    <x v="78"/>
    <x v="3"/>
    <n v="-4559"/>
  </r>
  <r>
    <x v="2"/>
    <x v="79"/>
    <x v="3"/>
    <n v="-4595"/>
  </r>
  <r>
    <x v="2"/>
    <x v="80"/>
    <x v="3"/>
    <n v="100"/>
  </r>
  <r>
    <x v="2"/>
    <x v="81"/>
    <x v="3"/>
    <n v="-3347"/>
  </r>
  <r>
    <x v="2"/>
    <x v="82"/>
    <x v="3"/>
    <n v="0"/>
  </r>
  <r>
    <x v="2"/>
    <x v="83"/>
    <x v="3"/>
    <n v="-255"/>
  </r>
  <r>
    <x v="2"/>
    <x v="84"/>
    <x v="3"/>
    <n v="0"/>
  </r>
  <r>
    <x v="2"/>
    <x v="85"/>
    <x v="3"/>
    <n v="0"/>
  </r>
  <r>
    <x v="2"/>
    <x v="86"/>
    <x v="3"/>
    <n v="0"/>
  </r>
  <r>
    <x v="2"/>
    <x v="87"/>
    <x v="3"/>
    <n v="-4361"/>
  </r>
  <r>
    <x v="2"/>
    <x v="12"/>
    <x v="4"/>
    <n v="8626"/>
  </r>
  <r>
    <x v="2"/>
    <x v="56"/>
    <x v="4"/>
    <n v="1977"/>
  </r>
  <r>
    <x v="2"/>
    <x v="57"/>
    <x v="4"/>
    <n v="0"/>
  </r>
  <r>
    <x v="2"/>
    <x v="14"/>
    <x v="4"/>
    <n v="0"/>
  </r>
  <r>
    <x v="2"/>
    <x v="58"/>
    <x v="4"/>
    <n v="227"/>
  </r>
  <r>
    <x v="2"/>
    <x v="46"/>
    <x v="4"/>
    <n v="648"/>
  </r>
  <r>
    <x v="2"/>
    <x v="59"/>
    <x v="4"/>
    <n v="-201"/>
  </r>
  <r>
    <x v="2"/>
    <x v="60"/>
    <x v="4"/>
    <n v="168"/>
  </r>
  <r>
    <x v="2"/>
    <x v="61"/>
    <x v="4"/>
    <n v="-670"/>
  </r>
  <r>
    <x v="2"/>
    <x v="62"/>
    <x v="4"/>
    <n v="0"/>
  </r>
  <r>
    <x v="2"/>
    <x v="4"/>
    <x v="4"/>
    <n v="465"/>
  </r>
  <r>
    <x v="2"/>
    <x v="63"/>
    <x v="4"/>
    <n v="234"/>
  </r>
  <r>
    <x v="2"/>
    <x v="64"/>
    <x v="4"/>
    <n v="-932"/>
  </r>
  <r>
    <x v="2"/>
    <x v="65"/>
    <x v="4"/>
    <n v="10542"/>
  </r>
  <r>
    <x v="2"/>
    <x v="66"/>
    <x v="4"/>
    <n v="0"/>
  </r>
  <r>
    <x v="2"/>
    <x v="67"/>
    <x v="4"/>
    <n v="-14782"/>
  </r>
  <r>
    <x v="2"/>
    <x v="68"/>
    <x v="4"/>
    <n v="12791"/>
  </r>
  <r>
    <x v="2"/>
    <x v="69"/>
    <x v="4"/>
    <n v="-353"/>
  </r>
  <r>
    <x v="2"/>
    <x v="70"/>
    <x v="4"/>
    <n v="872"/>
  </r>
  <r>
    <x v="2"/>
    <x v="71"/>
    <x v="4"/>
    <n v="-2550"/>
  </r>
  <r>
    <x v="2"/>
    <x v="72"/>
    <x v="4"/>
    <n v="111"/>
  </r>
  <r>
    <x v="2"/>
    <x v="73"/>
    <x v="4"/>
    <n v="-303"/>
  </r>
  <r>
    <x v="2"/>
    <x v="74"/>
    <x v="4"/>
    <n v="-4214"/>
  </r>
  <r>
    <x v="2"/>
    <x v="75"/>
    <x v="4"/>
    <n v="43425"/>
  </r>
  <r>
    <x v="2"/>
    <x v="76"/>
    <x v="4"/>
    <n v="-38714"/>
  </r>
  <r>
    <x v="2"/>
    <x v="77"/>
    <x v="4"/>
    <n v="1328"/>
  </r>
  <r>
    <x v="2"/>
    <x v="78"/>
    <x v="4"/>
    <n v="-4832"/>
  </r>
  <r>
    <x v="2"/>
    <x v="79"/>
    <x v="4"/>
    <n v="-4969"/>
  </r>
  <r>
    <x v="2"/>
    <x v="80"/>
    <x v="4"/>
    <n v="17"/>
  </r>
  <r>
    <x v="2"/>
    <x v="81"/>
    <x v="4"/>
    <n v="-3745"/>
  </r>
  <r>
    <x v="2"/>
    <x v="82"/>
    <x v="4"/>
    <n v="0"/>
  </r>
  <r>
    <x v="2"/>
    <x v="83"/>
    <x v="4"/>
    <n v="-611"/>
  </r>
  <r>
    <x v="2"/>
    <x v="84"/>
    <x v="4"/>
    <n v="0"/>
  </r>
  <r>
    <x v="2"/>
    <x v="85"/>
    <x v="4"/>
    <n v="0"/>
  </r>
  <r>
    <x v="2"/>
    <x v="86"/>
    <x v="4"/>
    <n v="0"/>
  </r>
  <r>
    <x v="2"/>
    <x v="87"/>
    <x v="4"/>
    <n v="1972"/>
  </r>
  <r>
    <x v="2"/>
    <x v="12"/>
    <x v="5"/>
    <n v="7124"/>
  </r>
  <r>
    <x v="2"/>
    <x v="56"/>
    <x v="5"/>
    <n v="1976"/>
  </r>
  <r>
    <x v="2"/>
    <x v="57"/>
    <x v="5"/>
    <n v="0"/>
  </r>
  <r>
    <x v="2"/>
    <x v="14"/>
    <x v="5"/>
    <n v="0"/>
  </r>
  <r>
    <x v="2"/>
    <x v="58"/>
    <x v="5"/>
    <n v="209"/>
  </r>
  <r>
    <x v="2"/>
    <x v="46"/>
    <x v="5"/>
    <n v="-40"/>
  </r>
  <r>
    <x v="2"/>
    <x v="59"/>
    <x v="5"/>
    <n v="-371"/>
  </r>
  <r>
    <x v="2"/>
    <x v="60"/>
    <x v="5"/>
    <n v="415"/>
  </r>
  <r>
    <x v="2"/>
    <x v="61"/>
    <x v="5"/>
    <n v="831"/>
  </r>
  <r>
    <x v="2"/>
    <x v="62"/>
    <x v="5"/>
    <n v="0"/>
  </r>
  <r>
    <x v="2"/>
    <x v="4"/>
    <x v="5"/>
    <n v="761"/>
  </r>
  <r>
    <x v="2"/>
    <x v="63"/>
    <x v="5"/>
    <n v="149"/>
  </r>
  <r>
    <x v="2"/>
    <x v="64"/>
    <x v="5"/>
    <n v="-439"/>
  </r>
  <r>
    <x v="2"/>
    <x v="65"/>
    <x v="5"/>
    <n v="10615"/>
  </r>
  <r>
    <x v="2"/>
    <x v="66"/>
    <x v="5"/>
    <n v="0"/>
  </r>
  <r>
    <x v="2"/>
    <x v="67"/>
    <x v="5"/>
    <n v="-17800"/>
  </r>
  <r>
    <x v="2"/>
    <x v="68"/>
    <x v="5"/>
    <n v="12986"/>
  </r>
  <r>
    <x v="2"/>
    <x v="69"/>
    <x v="5"/>
    <n v="-389"/>
  </r>
  <r>
    <x v="2"/>
    <x v="70"/>
    <x v="5"/>
    <n v="148"/>
  </r>
  <r>
    <x v="2"/>
    <x v="71"/>
    <x v="5"/>
    <n v="-2406"/>
  </r>
  <r>
    <x v="2"/>
    <x v="72"/>
    <x v="5"/>
    <n v="223"/>
  </r>
  <r>
    <x v="2"/>
    <x v="73"/>
    <x v="5"/>
    <n v="-268"/>
  </r>
  <r>
    <x v="2"/>
    <x v="74"/>
    <x v="5"/>
    <n v="-7506"/>
  </r>
  <r>
    <x v="2"/>
    <x v="75"/>
    <x v="5"/>
    <n v="41674"/>
  </r>
  <r>
    <x v="2"/>
    <x v="76"/>
    <x v="5"/>
    <n v="-36962"/>
  </r>
  <r>
    <x v="2"/>
    <x v="77"/>
    <x v="5"/>
    <n v="1532"/>
  </r>
  <r>
    <x v="2"/>
    <x v="78"/>
    <x v="5"/>
    <n v="-4162"/>
  </r>
  <r>
    <x v="2"/>
    <x v="79"/>
    <x v="5"/>
    <n v="-5350"/>
  </r>
  <r>
    <x v="2"/>
    <x v="80"/>
    <x v="5"/>
    <n v="-363"/>
  </r>
  <r>
    <x v="2"/>
    <x v="81"/>
    <x v="5"/>
    <n v="-3631"/>
  </r>
  <r>
    <x v="2"/>
    <x v="82"/>
    <x v="5"/>
    <n v="0"/>
  </r>
  <r>
    <x v="2"/>
    <x v="83"/>
    <x v="5"/>
    <n v="-934"/>
  </r>
  <r>
    <x v="2"/>
    <x v="84"/>
    <x v="5"/>
    <n v="0"/>
  </r>
  <r>
    <x v="2"/>
    <x v="85"/>
    <x v="5"/>
    <n v="0"/>
  </r>
  <r>
    <x v="2"/>
    <x v="86"/>
    <x v="5"/>
    <n v="0"/>
  </r>
  <r>
    <x v="2"/>
    <x v="87"/>
    <x v="5"/>
    <n v="-1456"/>
  </r>
  <r>
    <x v="2"/>
    <x v="12"/>
    <x v="6"/>
    <n v="7366"/>
  </r>
  <r>
    <x v="2"/>
    <x v="56"/>
    <x v="6"/>
    <n v="1970"/>
  </r>
  <r>
    <x v="2"/>
    <x v="57"/>
    <x v="6"/>
    <n v="0"/>
  </r>
  <r>
    <x v="2"/>
    <x v="14"/>
    <x v="6"/>
    <n v="7366"/>
  </r>
  <r>
    <x v="2"/>
    <x v="58"/>
    <x v="6"/>
    <n v="236"/>
  </r>
  <r>
    <x v="2"/>
    <x v="46"/>
    <x v="6"/>
    <n v="73"/>
  </r>
  <r>
    <x v="2"/>
    <x v="59"/>
    <x v="6"/>
    <n v="-122"/>
  </r>
  <r>
    <x v="2"/>
    <x v="60"/>
    <x v="6"/>
    <n v="-137"/>
  </r>
  <r>
    <x v="2"/>
    <x v="61"/>
    <x v="6"/>
    <n v="-374"/>
  </r>
  <r>
    <x v="2"/>
    <x v="62"/>
    <x v="6"/>
    <n v="0"/>
  </r>
  <r>
    <x v="2"/>
    <x v="4"/>
    <x v="6"/>
    <n v="929"/>
  </r>
  <r>
    <x v="2"/>
    <x v="63"/>
    <x v="6"/>
    <n v="744"/>
  </r>
  <r>
    <x v="2"/>
    <x v="64"/>
    <x v="6"/>
    <n v="-157"/>
  </r>
  <r>
    <x v="2"/>
    <x v="65"/>
    <x v="6"/>
    <n v="10528"/>
  </r>
  <r>
    <x v="2"/>
    <x v="66"/>
    <x v="6"/>
    <n v="0"/>
  </r>
  <r>
    <x v="2"/>
    <x v="67"/>
    <x v="6"/>
    <n v="-15831"/>
  </r>
  <r>
    <x v="2"/>
    <x v="68"/>
    <x v="6"/>
    <n v="14079"/>
  </r>
  <r>
    <x v="2"/>
    <x v="69"/>
    <x v="6"/>
    <n v="-2491"/>
  </r>
  <r>
    <x v="2"/>
    <x v="70"/>
    <x v="6"/>
    <n v="565"/>
  </r>
  <r>
    <x v="2"/>
    <x v="71"/>
    <x v="6"/>
    <n v="-2553"/>
  </r>
  <r>
    <x v="2"/>
    <x v="72"/>
    <x v="6"/>
    <n v="85"/>
  </r>
  <r>
    <x v="2"/>
    <x v="73"/>
    <x v="6"/>
    <n v="-40"/>
  </r>
  <r>
    <x v="2"/>
    <x v="74"/>
    <x v="6"/>
    <n v="-6186"/>
  </r>
  <r>
    <x v="2"/>
    <x v="75"/>
    <x v="6"/>
    <n v="40434"/>
  </r>
  <r>
    <x v="2"/>
    <x v="76"/>
    <x v="6"/>
    <n v="-37738"/>
  </r>
  <r>
    <x v="2"/>
    <x v="77"/>
    <x v="6"/>
    <n v="1245"/>
  </r>
  <r>
    <x v="2"/>
    <x v="78"/>
    <x v="6"/>
    <n v="-3564"/>
  </r>
  <r>
    <x v="2"/>
    <x v="79"/>
    <x v="6"/>
    <n v="-5741"/>
  </r>
  <r>
    <x v="2"/>
    <x v="80"/>
    <x v="6"/>
    <n v="251"/>
  </r>
  <r>
    <x v="2"/>
    <x v="81"/>
    <x v="6"/>
    <n v="-5113"/>
  </r>
  <r>
    <x v="2"/>
    <x v="82"/>
    <x v="6"/>
    <n v="0"/>
  </r>
  <r>
    <x v="2"/>
    <x v="83"/>
    <x v="6"/>
    <n v="-878"/>
  </r>
  <r>
    <x v="2"/>
    <x v="84"/>
    <x v="6"/>
    <n v="0"/>
  </r>
  <r>
    <x v="2"/>
    <x v="85"/>
    <x v="6"/>
    <n v="0"/>
  </r>
  <r>
    <x v="2"/>
    <x v="86"/>
    <x v="6"/>
    <n v="0"/>
  </r>
  <r>
    <x v="2"/>
    <x v="87"/>
    <x v="6"/>
    <n v="-1649"/>
  </r>
  <r>
    <x v="2"/>
    <x v="12"/>
    <x v="7"/>
    <n v="6550"/>
  </r>
  <r>
    <x v="2"/>
    <x v="56"/>
    <x v="7"/>
    <n v="1787"/>
  </r>
  <r>
    <x v="2"/>
    <x v="57"/>
    <x v="7"/>
    <n v="0"/>
  </r>
  <r>
    <x v="2"/>
    <x v="14"/>
    <x v="7"/>
    <n v="6550"/>
  </r>
  <r>
    <x v="2"/>
    <x v="58"/>
    <x v="7"/>
    <n v="258"/>
  </r>
  <r>
    <x v="2"/>
    <x v="46"/>
    <x v="7"/>
    <n v="-856"/>
  </r>
  <r>
    <x v="2"/>
    <x v="59"/>
    <x v="7"/>
    <n v="-449"/>
  </r>
  <r>
    <x v="2"/>
    <x v="60"/>
    <x v="7"/>
    <n v="158"/>
  </r>
  <r>
    <x v="2"/>
    <x v="61"/>
    <x v="7"/>
    <n v="1146"/>
  </r>
  <r>
    <x v="2"/>
    <x v="62"/>
    <x v="7"/>
    <n v="0"/>
  </r>
  <r>
    <x v="2"/>
    <x v="4"/>
    <x v="7"/>
    <n v="647"/>
  </r>
  <r>
    <x v="2"/>
    <x v="63"/>
    <x v="7"/>
    <n v="-224"/>
  </r>
  <r>
    <x v="2"/>
    <x v="64"/>
    <x v="7"/>
    <n v="-221"/>
  </r>
  <r>
    <x v="2"/>
    <x v="65"/>
    <x v="7"/>
    <n v="8796"/>
  </r>
  <r>
    <x v="2"/>
    <x v="66"/>
    <x v="7"/>
    <n v="0"/>
  </r>
  <r>
    <x v="2"/>
    <x v="67"/>
    <x v="7"/>
    <n v="-15499"/>
  </r>
  <r>
    <x v="2"/>
    <x v="68"/>
    <x v="7"/>
    <n v="16624"/>
  </r>
  <r>
    <x v="2"/>
    <x v="69"/>
    <x v="7"/>
    <n v="-838"/>
  </r>
  <r>
    <x v="2"/>
    <x v="70"/>
    <x v="7"/>
    <n v="1035"/>
  </r>
  <r>
    <x v="2"/>
    <x v="71"/>
    <x v="7"/>
    <n v="-2262"/>
  </r>
  <r>
    <x v="2"/>
    <x v="72"/>
    <x v="7"/>
    <n v="150"/>
  </r>
  <r>
    <x v="2"/>
    <x v="73"/>
    <x v="7"/>
    <n v="-209"/>
  </r>
  <r>
    <x v="2"/>
    <x v="74"/>
    <x v="7"/>
    <n v="-999"/>
  </r>
  <r>
    <x v="2"/>
    <x v="75"/>
    <x v="7"/>
    <n v="27281"/>
  </r>
  <r>
    <x v="2"/>
    <x v="76"/>
    <x v="7"/>
    <n v="-25615"/>
  </r>
  <r>
    <x v="2"/>
    <x v="77"/>
    <x v="7"/>
    <n v="1434"/>
  </r>
  <r>
    <x v="2"/>
    <x v="78"/>
    <x v="7"/>
    <n v="-3681"/>
  </r>
  <r>
    <x v="2"/>
    <x v="79"/>
    <x v="7"/>
    <n v="-6043"/>
  </r>
  <r>
    <x v="2"/>
    <x v="80"/>
    <x v="7"/>
    <n v="79"/>
  </r>
  <r>
    <x v="2"/>
    <x v="81"/>
    <x v="7"/>
    <n v="-6545"/>
  </r>
  <r>
    <x v="2"/>
    <x v="82"/>
    <x v="7"/>
    <n v="0"/>
  </r>
  <r>
    <x v="2"/>
    <x v="83"/>
    <x v="7"/>
    <n v="-6"/>
  </r>
  <r>
    <x v="2"/>
    <x v="84"/>
    <x v="7"/>
    <n v="0"/>
  </r>
  <r>
    <x v="2"/>
    <x v="85"/>
    <x v="7"/>
    <n v="0"/>
  </r>
  <r>
    <x v="2"/>
    <x v="86"/>
    <x v="7"/>
    <n v="0"/>
  </r>
  <r>
    <x v="2"/>
    <x v="87"/>
    <x v="7"/>
    <n v="1246"/>
  </r>
  <r>
    <x v="2"/>
    <x v="12"/>
    <x v="8"/>
    <n v="1283"/>
  </r>
  <r>
    <x v="2"/>
    <x v="56"/>
    <x v="8"/>
    <n v="1260"/>
  </r>
  <r>
    <x v="2"/>
    <x v="57"/>
    <x v="8"/>
    <n v="-101"/>
  </r>
  <r>
    <x v="2"/>
    <x v="14"/>
    <x v="8"/>
    <n v="1182"/>
  </r>
  <r>
    <x v="2"/>
    <x v="58"/>
    <x v="8"/>
    <n v="219"/>
  </r>
  <r>
    <x v="2"/>
    <x v="46"/>
    <x v="8"/>
    <n v="-1256"/>
  </r>
  <r>
    <x v="2"/>
    <x v="59"/>
    <x v="8"/>
    <n v="-628"/>
  </r>
  <r>
    <x v="2"/>
    <x v="60"/>
    <x v="8"/>
    <n v="281"/>
  </r>
  <r>
    <x v="2"/>
    <x v="61"/>
    <x v="8"/>
    <n v="1459"/>
  </r>
  <r>
    <x v="2"/>
    <x v="62"/>
    <x v="8"/>
    <n v="0"/>
  </r>
  <r>
    <x v="2"/>
    <x v="4"/>
    <x v="8"/>
    <n v="1218"/>
  </r>
  <r>
    <x v="2"/>
    <x v="63"/>
    <x v="8"/>
    <n v="-269"/>
  </r>
  <r>
    <x v="2"/>
    <x v="64"/>
    <x v="8"/>
    <n v="3464"/>
  </r>
  <r>
    <x v="2"/>
    <x v="65"/>
    <x v="8"/>
    <n v="6930"/>
  </r>
  <r>
    <x v="2"/>
    <x v="66"/>
    <x v="8"/>
    <n v="0"/>
  </r>
  <r>
    <x v="2"/>
    <x v="67"/>
    <x v="8"/>
    <n v="-17296"/>
  </r>
  <r>
    <x v="2"/>
    <x v="68"/>
    <x v="8"/>
    <n v="16694"/>
  </r>
  <r>
    <x v="2"/>
    <x v="69"/>
    <x v="8"/>
    <n v="-3809"/>
  </r>
  <r>
    <x v="2"/>
    <x v="70"/>
    <x v="8"/>
    <n v="3821"/>
  </r>
  <r>
    <x v="2"/>
    <x v="71"/>
    <x v="8"/>
    <n v="-1675"/>
  </r>
  <r>
    <x v="2"/>
    <x v="72"/>
    <x v="8"/>
    <n v="104"/>
  </r>
  <r>
    <x v="2"/>
    <x v="73"/>
    <x v="8"/>
    <n v="-93"/>
  </r>
  <r>
    <x v="2"/>
    <x v="74"/>
    <x v="8"/>
    <n v="-2254"/>
  </r>
  <r>
    <x v="2"/>
    <x v="75"/>
    <x v="8"/>
    <n v="29857"/>
  </r>
  <r>
    <x v="2"/>
    <x v="76"/>
    <x v="8"/>
    <n v="-28768"/>
  </r>
  <r>
    <x v="2"/>
    <x v="77"/>
    <x v="8"/>
    <n v="1595"/>
  </r>
  <r>
    <x v="2"/>
    <x v="78"/>
    <x v="8"/>
    <n v="-3682"/>
  </r>
  <r>
    <x v="2"/>
    <x v="79"/>
    <x v="8"/>
    <n v="-6320"/>
  </r>
  <r>
    <x v="2"/>
    <x v="80"/>
    <x v="8"/>
    <n v="-91"/>
  </r>
  <r>
    <x v="2"/>
    <x v="81"/>
    <x v="8"/>
    <n v="-7409"/>
  </r>
  <r>
    <x v="2"/>
    <x v="82"/>
    <x v="8"/>
    <n v="111"/>
  </r>
  <r>
    <x v="2"/>
    <x v="83"/>
    <x v="8"/>
    <n v="241"/>
  </r>
  <r>
    <x v="2"/>
    <x v="84"/>
    <x v="8"/>
    <n v="-58"/>
  </r>
  <r>
    <x v="2"/>
    <x v="85"/>
    <x v="8"/>
    <n v="-38"/>
  </r>
  <r>
    <x v="2"/>
    <x v="86"/>
    <x v="8"/>
    <n v="15"/>
  </r>
  <r>
    <x v="2"/>
    <x v="87"/>
    <x v="8"/>
    <n v="-2477"/>
  </r>
  <r>
    <x v="2"/>
    <x v="12"/>
    <x v="9"/>
    <n v="6476"/>
  </r>
  <r>
    <x v="2"/>
    <x v="56"/>
    <x v="9"/>
    <n v="1086"/>
  </r>
  <r>
    <x v="2"/>
    <x v="57"/>
    <x v="9"/>
    <n v="251"/>
  </r>
  <r>
    <x v="2"/>
    <x v="14"/>
    <x v="9"/>
    <n v="6727"/>
  </r>
  <r>
    <x v="2"/>
    <x v="58"/>
    <x v="9"/>
    <n v="225"/>
  </r>
  <r>
    <x v="2"/>
    <x v="46"/>
    <x v="9"/>
    <n v="-450"/>
  </r>
  <r>
    <x v="2"/>
    <x v="59"/>
    <x v="9"/>
    <n v="-457"/>
  </r>
  <r>
    <x v="2"/>
    <x v="60"/>
    <x v="9"/>
    <n v="-38"/>
  </r>
  <r>
    <x v="2"/>
    <x v="61"/>
    <x v="9"/>
    <n v="189"/>
  </r>
  <r>
    <x v="2"/>
    <x v="62"/>
    <x v="9"/>
    <n v="0"/>
  </r>
  <r>
    <x v="2"/>
    <x v="4"/>
    <x v="9"/>
    <n v="558"/>
  </r>
  <r>
    <x v="2"/>
    <x v="63"/>
    <x v="9"/>
    <n v="682"/>
  </r>
  <r>
    <x v="2"/>
    <x v="64"/>
    <x v="9"/>
    <n v="-1202"/>
  </r>
  <r>
    <x v="2"/>
    <x v="65"/>
    <x v="9"/>
    <n v="7320"/>
  </r>
  <r>
    <x v="2"/>
    <x v="66"/>
    <x v="9"/>
    <n v="0"/>
  </r>
  <r>
    <x v="2"/>
    <x v="67"/>
    <x v="9"/>
    <n v="-7789"/>
  </r>
  <r>
    <x v="2"/>
    <x v="68"/>
    <x v="9"/>
    <n v="14977"/>
  </r>
  <r>
    <x v="2"/>
    <x v="69"/>
    <x v="9"/>
    <n v="-1040"/>
  </r>
  <r>
    <x v="2"/>
    <x v="70"/>
    <x v="9"/>
    <n v="1362"/>
  </r>
  <r>
    <x v="2"/>
    <x v="71"/>
    <x v="9"/>
    <n v="-1347"/>
  </r>
  <r>
    <x v="2"/>
    <x v="72"/>
    <x v="9"/>
    <n v="245"/>
  </r>
  <r>
    <x v="2"/>
    <x v="73"/>
    <x v="9"/>
    <n v="-60"/>
  </r>
  <r>
    <x v="2"/>
    <x v="74"/>
    <x v="9"/>
    <n v="6348"/>
  </r>
  <r>
    <x v="2"/>
    <x v="75"/>
    <x v="9"/>
    <n v="27339"/>
  </r>
  <r>
    <x v="2"/>
    <x v="76"/>
    <x v="9"/>
    <n v="-30568"/>
  </r>
  <r>
    <x v="2"/>
    <x v="77"/>
    <x v="9"/>
    <n v="1476"/>
  </r>
  <r>
    <x v="2"/>
    <x v="78"/>
    <x v="9"/>
    <n v="-1912"/>
  </r>
  <r>
    <x v="2"/>
    <x v="79"/>
    <x v="9"/>
    <n v="-6644"/>
  </r>
  <r>
    <x v="2"/>
    <x v="80"/>
    <x v="9"/>
    <n v="-243"/>
  </r>
  <r>
    <x v="2"/>
    <x v="81"/>
    <x v="9"/>
    <n v="-10552"/>
  </r>
  <r>
    <x v="2"/>
    <x v="82"/>
    <x v="9"/>
    <n v="307"/>
  </r>
  <r>
    <x v="2"/>
    <x v="83"/>
    <x v="9"/>
    <n v="-262"/>
  </r>
  <r>
    <x v="2"/>
    <x v="84"/>
    <x v="9"/>
    <n v="-421"/>
  </r>
  <r>
    <x v="2"/>
    <x v="85"/>
    <x v="9"/>
    <n v="205"/>
  </r>
  <r>
    <x v="2"/>
    <x v="86"/>
    <x v="9"/>
    <n v="91"/>
  </r>
  <r>
    <x v="2"/>
    <x v="87"/>
    <x v="9"/>
    <n v="29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s v="NET INCOME ATTRIBUTABLE TO SHAREOWNERS OF THE COCA-COLA COMPANY"/>
    <x v="0"/>
    <n v="6824"/>
  </r>
  <r>
    <x v="0"/>
    <s v="NET INCOME ATTRIBUTABLE TO SHAREOWNERS OF THE COCA-COLA COMPANY"/>
    <x v="1"/>
    <n v="11787"/>
  </r>
  <r>
    <x v="0"/>
    <s v="NET INCOME ATTRIBUTABLE TO SHAREOWNERS OF THE COCA-COLA COMPANY"/>
    <x v="2"/>
    <n v="8584"/>
  </r>
  <r>
    <x v="0"/>
    <s v="NET INCOME ATTRIBUTABLE TO SHAREOWNERS OF THE COCA-COLA COMPANY"/>
    <x v="3"/>
    <n v="9019"/>
  </r>
  <r>
    <x v="0"/>
    <s v="NET INCOME ATTRIBUTABLE TO SHAREOWNERS OF THE COCA-COLA COMPANY"/>
    <x v="4"/>
    <n v="8584"/>
  </r>
  <r>
    <x v="0"/>
    <s v="NET INCOME ATTRIBUTABLE TO SHAREOWNERS OF THE COCA-COLA COMPANY"/>
    <x v="5"/>
    <n v="7098"/>
  </r>
  <r>
    <x v="0"/>
    <s v="NET INCOME ATTRIBUTABLE TO SHAREOWNERS OF THE COCA-COLA COMPANY"/>
    <x v="6"/>
    <n v="7351"/>
  </r>
  <r>
    <x v="0"/>
    <s v="NET INCOME ATTRIBUTABLE TO SHAREOWNERS OF THE COCA-COLA COMPANY"/>
    <x v="7"/>
    <n v="6527"/>
  </r>
  <r>
    <x v="0"/>
    <s v="NET INCOME ATTRIBUTABLE TO SHAREOWNERS OF THE COCA-COLA COMPANY"/>
    <x v="8"/>
    <n v="1248"/>
  </r>
  <r>
    <x v="0"/>
    <s v="NET INCOME ATTRIBUTABLE TO SHAREOWNERS OF THE COCA-COLA COMPANY"/>
    <x v="9"/>
    <n v="6434"/>
  </r>
  <r>
    <x v="1"/>
    <s v="Total Assets"/>
    <x v="0"/>
    <n v="48671"/>
  </r>
  <r>
    <x v="1"/>
    <s v="Total Assets"/>
    <x v="1"/>
    <n v="72921"/>
  </r>
  <r>
    <x v="1"/>
    <s v="Total Assets"/>
    <x v="2"/>
    <n v="79974"/>
  </r>
  <r>
    <x v="1"/>
    <s v="Total Assets"/>
    <x v="3"/>
    <n v="86174"/>
  </r>
  <r>
    <x v="1"/>
    <s v="Total Assets"/>
    <x v="4"/>
    <n v="90055"/>
  </r>
  <r>
    <x v="1"/>
    <s v="Total Assets"/>
    <x v="5"/>
    <n v="92023"/>
  </r>
  <r>
    <x v="1"/>
    <s v="Total Assets"/>
    <x v="6"/>
    <n v="89996"/>
  </r>
  <r>
    <x v="1"/>
    <s v="Total Assets"/>
    <x v="7"/>
    <n v="87270"/>
  </r>
  <r>
    <x v="1"/>
    <s v="Total Assets"/>
    <x v="8"/>
    <n v="87896"/>
  </r>
  <r>
    <x v="1"/>
    <s v="Total Assets"/>
    <x v="9"/>
    <n v="83216"/>
  </r>
  <r>
    <x v="2"/>
    <s v="Net increase (decrease) during the year"/>
    <x v="0"/>
    <n v="2320"/>
  </r>
  <r>
    <x v="2"/>
    <s v="Net increase (decrease) during the year"/>
    <x v="1"/>
    <n v="1496"/>
  </r>
  <r>
    <x v="2"/>
    <s v="Net increase (decrease) during the year"/>
    <x v="2"/>
    <n v="4286"/>
  </r>
  <r>
    <x v="2"/>
    <s v="Net increase (decrease) during the year"/>
    <x v="3"/>
    <n v="-4361"/>
  </r>
  <r>
    <x v="2"/>
    <s v="Net increase (decrease) during the year"/>
    <x v="4"/>
    <n v="1972"/>
  </r>
  <r>
    <x v="2"/>
    <s v="Net increase (decrease) during the year"/>
    <x v="5"/>
    <n v="-1456"/>
  </r>
  <r>
    <x v="2"/>
    <s v="Net increase (decrease) during the year"/>
    <x v="6"/>
    <n v="-1649"/>
  </r>
  <r>
    <x v="2"/>
    <s v="Net increase (decrease) during the year"/>
    <x v="7"/>
    <n v="1246"/>
  </r>
  <r>
    <x v="2"/>
    <s v="Net increase (decrease) during the year"/>
    <x v="8"/>
    <n v="-2477"/>
  </r>
  <r>
    <x v="2"/>
    <s v="Net increase (decrease) during the year"/>
    <x v="9"/>
    <n v="29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6A002A-759D-4493-B450-CB1F005168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64" firstHeaderRow="1" firstDataRow="1" firstDataCol="1"/>
  <pivotFields count="4">
    <pivotField axis="axisRow" showAll="0">
      <items count="4">
        <item x="1"/>
        <item x="2"/>
        <item x="0"/>
        <item t="default"/>
      </items>
    </pivotField>
    <pivotField axis="axisRow" showAll="0">
      <items count="89">
        <item x="57"/>
        <item x="37"/>
        <item x="40"/>
        <item x="50"/>
        <item x="69"/>
        <item x="24"/>
        <item x="32"/>
        <item x="48"/>
        <item x="17"/>
        <item x="85"/>
        <item x="84"/>
        <item x="82"/>
        <item x="47"/>
        <item x="12"/>
        <item x="1"/>
        <item x="39"/>
        <item x="30"/>
        <item x="46"/>
        <item x="56"/>
        <item x="79"/>
        <item x="83"/>
        <item x="59"/>
        <item x="53"/>
        <item x="52"/>
        <item x="8"/>
        <item x="26"/>
        <item x="60"/>
        <item x="33"/>
        <item x="2"/>
        <item x="15"/>
        <item x="10"/>
        <item x="11"/>
        <item x="7"/>
        <item x="6"/>
        <item x="22"/>
        <item x="75"/>
        <item x="77"/>
        <item x="13"/>
        <item x="36"/>
        <item x="41"/>
        <item x="42"/>
        <item x="38"/>
        <item x="44"/>
        <item x="20"/>
        <item x="86"/>
        <item x="81"/>
        <item x="74"/>
        <item x="65"/>
        <item x="64"/>
        <item x="16"/>
        <item x="14"/>
        <item x="87"/>
        <item x="0"/>
        <item x="5"/>
        <item x="28"/>
        <item x="80"/>
        <item x="9"/>
        <item x="34"/>
        <item x="73"/>
        <item x="27"/>
        <item x="63"/>
        <item x="45"/>
        <item x="4"/>
        <item x="62"/>
        <item x="76"/>
        <item x="23"/>
        <item x="70"/>
        <item x="68"/>
        <item x="72"/>
        <item x="29"/>
        <item x="67"/>
        <item x="71"/>
        <item x="66"/>
        <item x="78"/>
        <item x="49"/>
        <item x="3"/>
        <item x="18"/>
        <item x="61"/>
        <item x="58"/>
        <item x="35"/>
        <item x="19"/>
        <item x="25"/>
        <item x="43"/>
        <item x="54"/>
        <item x="55"/>
        <item x="21"/>
        <item x="31"/>
        <item x="51"/>
        <item t="default"/>
      </items>
    </pivotField>
    <pivotField axis="axisRow" showAll="0">
      <items count="11">
        <item x="0"/>
        <item x="1"/>
        <item x="2"/>
        <item x="3"/>
        <item x="4"/>
        <item x="5"/>
        <item x="6"/>
        <item x="7"/>
        <item x="8"/>
        <item x="9"/>
        <item t="default"/>
      </items>
    </pivotField>
    <pivotField dataField="1" showAll="0"/>
  </pivotFields>
  <rowFields count="3">
    <field x="2"/>
    <field x="0"/>
    <field x="1"/>
  </rowFields>
  <rowItems count="961">
    <i>
      <x/>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1"/>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2"/>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3"/>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4"/>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5"/>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6"/>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7"/>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8"/>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x v="9"/>
    </i>
    <i r="1">
      <x/>
    </i>
    <i r="2">
      <x v="1"/>
    </i>
    <i r="2">
      <x v="2"/>
    </i>
    <i r="2">
      <x v="3"/>
    </i>
    <i r="2">
      <x v="5"/>
    </i>
    <i r="2">
      <x v="6"/>
    </i>
    <i r="2">
      <x v="7"/>
    </i>
    <i r="2">
      <x v="8"/>
    </i>
    <i r="2">
      <x v="12"/>
    </i>
    <i r="2">
      <x v="15"/>
    </i>
    <i r="2">
      <x v="16"/>
    </i>
    <i r="2">
      <x v="17"/>
    </i>
    <i r="2">
      <x v="22"/>
    </i>
    <i r="2">
      <x v="23"/>
    </i>
    <i r="2">
      <x v="25"/>
    </i>
    <i r="2">
      <x v="27"/>
    </i>
    <i r="2">
      <x v="34"/>
    </i>
    <i r="2">
      <x v="38"/>
    </i>
    <i r="2">
      <x v="39"/>
    </i>
    <i r="2">
      <x v="40"/>
    </i>
    <i r="2">
      <x v="41"/>
    </i>
    <i r="2">
      <x v="42"/>
    </i>
    <i r="2">
      <x v="43"/>
    </i>
    <i r="2">
      <x v="54"/>
    </i>
    <i r="2">
      <x v="57"/>
    </i>
    <i r="2">
      <x v="59"/>
    </i>
    <i r="2">
      <x v="61"/>
    </i>
    <i r="2">
      <x v="65"/>
    </i>
    <i r="2">
      <x v="69"/>
    </i>
    <i r="2">
      <x v="74"/>
    </i>
    <i r="2">
      <x v="76"/>
    </i>
    <i r="2">
      <x v="79"/>
    </i>
    <i r="2">
      <x v="80"/>
    </i>
    <i r="2">
      <x v="81"/>
    </i>
    <i r="2">
      <x v="82"/>
    </i>
    <i r="2">
      <x v="83"/>
    </i>
    <i r="2">
      <x v="84"/>
    </i>
    <i r="2">
      <x v="85"/>
    </i>
    <i r="2">
      <x v="86"/>
    </i>
    <i r="2">
      <x v="87"/>
    </i>
    <i r="1">
      <x v="1"/>
    </i>
    <i r="2">
      <x/>
    </i>
    <i r="2">
      <x v="4"/>
    </i>
    <i r="2">
      <x v="9"/>
    </i>
    <i r="2">
      <x v="10"/>
    </i>
    <i r="2">
      <x v="11"/>
    </i>
    <i r="2">
      <x v="13"/>
    </i>
    <i r="2">
      <x v="17"/>
    </i>
    <i r="2">
      <x v="18"/>
    </i>
    <i r="2">
      <x v="19"/>
    </i>
    <i r="2">
      <x v="20"/>
    </i>
    <i r="2">
      <x v="21"/>
    </i>
    <i r="2">
      <x v="26"/>
    </i>
    <i r="2">
      <x v="35"/>
    </i>
    <i r="2">
      <x v="36"/>
    </i>
    <i r="2">
      <x v="44"/>
    </i>
    <i r="2">
      <x v="45"/>
    </i>
    <i r="2">
      <x v="46"/>
    </i>
    <i r="2">
      <x v="47"/>
    </i>
    <i r="2">
      <x v="48"/>
    </i>
    <i r="2">
      <x v="50"/>
    </i>
    <i r="2">
      <x v="51"/>
    </i>
    <i r="2">
      <x v="55"/>
    </i>
    <i r="2">
      <x v="58"/>
    </i>
    <i r="2">
      <x v="60"/>
    </i>
    <i r="2">
      <x v="62"/>
    </i>
    <i r="2">
      <x v="63"/>
    </i>
    <i r="2">
      <x v="64"/>
    </i>
    <i r="2">
      <x v="66"/>
    </i>
    <i r="2">
      <x v="67"/>
    </i>
    <i r="2">
      <x v="68"/>
    </i>
    <i r="2">
      <x v="70"/>
    </i>
    <i r="2">
      <x v="71"/>
    </i>
    <i r="2">
      <x v="72"/>
    </i>
    <i r="2">
      <x v="73"/>
    </i>
    <i r="2">
      <x v="77"/>
    </i>
    <i r="2">
      <x v="78"/>
    </i>
    <i r="1">
      <x v="2"/>
    </i>
    <i r="2">
      <x v="13"/>
    </i>
    <i r="2">
      <x v="14"/>
    </i>
    <i r="2">
      <x v="24"/>
    </i>
    <i r="2">
      <x v="28"/>
    </i>
    <i r="2">
      <x v="29"/>
    </i>
    <i r="2">
      <x v="30"/>
    </i>
    <i r="2">
      <x v="31"/>
    </i>
    <i r="2">
      <x v="32"/>
    </i>
    <i r="2">
      <x v="33"/>
    </i>
    <i r="2">
      <x v="37"/>
    </i>
    <i r="2">
      <x v="49"/>
    </i>
    <i r="2">
      <x v="50"/>
    </i>
    <i r="2">
      <x v="52"/>
    </i>
    <i r="2">
      <x v="53"/>
    </i>
    <i r="2">
      <x v="56"/>
    </i>
    <i r="2">
      <x v="62"/>
    </i>
    <i r="2">
      <x v="75"/>
    </i>
    <i t="grand">
      <x/>
    </i>
  </rowItems>
  <colItems count="1">
    <i/>
  </colItems>
  <dataFields count="1">
    <dataField name="Sum of Amount" fld="3" baseField="2"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CA4AA-DCE6-46D8-895D-8A749D4343D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4" firstHeaderRow="1" firstDataRow="1" firstDataCol="1"/>
  <pivotFields count="4">
    <pivotField axis="axisRow" showAll="0">
      <items count="4">
        <item x="1"/>
        <item x="2"/>
        <item x="0"/>
        <item t="default"/>
      </items>
    </pivotField>
    <pivotField showAll="0"/>
    <pivotField axis="axisRow" showAll="0">
      <items count="11">
        <item x="0"/>
        <item x="1"/>
        <item x="2"/>
        <item x="3"/>
        <item x="4"/>
        <item x="5"/>
        <item x="6"/>
        <item x="7"/>
        <item x="8"/>
        <item x="9"/>
        <item t="default"/>
      </items>
    </pivotField>
    <pivotField dataField="1" showAll="0"/>
  </pivotFields>
  <rowFields count="2">
    <field x="2"/>
    <field x="0"/>
  </rowFields>
  <rowItems count="41">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t="grand">
      <x/>
    </i>
  </rowItems>
  <colItems count="1">
    <i/>
  </colItems>
  <dataFields count="1">
    <dataField name="Sum of Price_Amou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C618C6-7BAC-4770-A3F0-8D36AC0CD60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4">
    <pivotField axis="axisRow" showAll="0" measureFilter="1">
      <items count="4">
        <item x="1"/>
        <item x="2"/>
        <item x="0"/>
        <item t="default"/>
      </items>
    </pivotField>
    <pivotField showAll="0"/>
    <pivotField axis="axisRow" showAll="0">
      <items count="11">
        <item x="0"/>
        <item x="1"/>
        <item x="2"/>
        <item x="3"/>
        <item x="4"/>
        <item x="5"/>
        <item x="6"/>
        <item x="7"/>
        <item x="8"/>
        <item x="9"/>
        <item t="default"/>
      </items>
    </pivotField>
    <pivotField dataField="1" showAll="0"/>
  </pivotFields>
  <rowFields count="2">
    <field x="2"/>
    <field x="0"/>
  </rowFields>
  <rowItems count="9">
    <i>
      <x v="3"/>
    </i>
    <i r="1">
      <x v="1"/>
    </i>
    <i>
      <x v="5"/>
    </i>
    <i r="1">
      <x v="1"/>
    </i>
    <i>
      <x v="6"/>
    </i>
    <i r="1">
      <x v="1"/>
    </i>
    <i>
      <x v="8"/>
    </i>
    <i r="1">
      <x v="1"/>
    </i>
    <i t="grand">
      <x/>
    </i>
  </rowItems>
  <colItems count="1">
    <i/>
  </colItems>
  <dataFields count="1">
    <dataField name="Sum of Price_Amount"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valueLessThan" evalOrder="-1" id="4"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ment_Type" xr10:uid="{91CBC974-EA7D-4C41-A2D5-C1840E82AFB6}" sourceName="Statement_Type">
  <pivotTables>
    <pivotTable tabId="7" name="PivotTable4"/>
  </pivotTables>
  <data>
    <tabular pivotCacheId="14832189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DCAAB55-A7A4-4C14-A79E-A812883AB54C}" sourceName="Year">
  <pivotTables>
    <pivotTable tabId="7" name="PivotTable4"/>
  </pivotTables>
  <data>
    <tabular pivotCacheId="148321891">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ment_Type" xr10:uid="{AE19E7E5-F73B-41BE-A331-290054E9260B}" cache="Slicer_Statement_Type" caption="Statement_Type" rowHeight="241300"/>
  <slicer name="Year" xr10:uid="{A93D87A8-8657-421E-834C-C3F6E421B6BC}" cache="Slicer_Year" caption="Year"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37299D-E5EC-489B-9716-E603D0430941}" name="Table3" displayName="Table3" ref="A1:D931" headerRowDxfId="17" dataDxfId="16">
  <autoFilter ref="A1:D931" xr:uid="{9B37299D-E5EC-489B-9716-E603D0430941}"/>
  <tableColumns count="4">
    <tableColumn id="1" xr3:uid="{B91D21C5-5D2C-40A0-9F4D-48B5745A0B65}" name="Statement_type" totalsRowLabel="Total" dataDxfId="15" totalsRowDxfId="14"/>
    <tableColumn id="2" xr3:uid="{7BC1A60F-E744-49E7-BC5A-8B82DC34D933}" name="Metric" dataDxfId="13" totalsRowDxfId="12"/>
    <tableColumn id="3" xr3:uid="{5724E8E6-FF26-441F-BE27-AE4B50CFBA9A}" name="Year" dataDxfId="11" totalsRowDxfId="10"/>
    <tableColumn id="4" xr3:uid="{6BABA3A6-B194-4841-A320-BBFC1FA2288A}" name="Amount" totalsRowFunction="count" dataDxfId="9" totalsRowDxfId="8"/>
  </tableColumns>
  <tableStyleInfo name="TableStyleMedium7"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E87F1B-0983-403B-8DFE-8ED71E06E6A7}" name="Table4" displayName="Table4" ref="A1:D31" totalsRowShown="0" headerRowDxfId="7" headerRowBorderDxfId="6" tableBorderDxfId="5" totalsRowBorderDxfId="4">
  <autoFilter ref="A1:D31" xr:uid="{F9E87F1B-0983-403B-8DFE-8ED71E06E6A7}"/>
  <tableColumns count="4">
    <tableColumn id="1" xr3:uid="{C59F8D03-8A18-4755-B6BF-B1EF01F538E6}" name="Statement_Type" dataDxfId="3"/>
    <tableColumn id="2" xr3:uid="{38A216D1-15AE-447E-8EFA-A7487844614F}" name="Metric" dataDxfId="2"/>
    <tableColumn id="3" xr3:uid="{65247C7F-9129-4959-A90D-DC182CCC20DE}" name="Year" dataDxfId="1"/>
    <tableColumn id="4" xr3:uid="{0588FF8B-2AAD-41E1-B38E-10D28D0A0AFE}" name="Price_Amount" dataDxfId="0">
      <calculatedColumnFormula array="1">_xlfn.XLOOKUP(B2 &amp;C2,Table3[Metric] &amp;Table3[Year],Table3[Amount],,0)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mfin.com/"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4"/>
  <sheetViews>
    <sheetView tabSelected="1" topLeftCell="A28" workbookViewId="0">
      <selection activeCell="B21" sqref="B21"/>
    </sheetView>
  </sheetViews>
  <sheetFormatPr defaultRowHeight="15" x14ac:dyDescent="0.25"/>
  <cols>
    <col min="1" max="1" width="2" customWidth="1"/>
    <col min="2" max="2" width="134.42578125" bestFit="1" customWidth="1"/>
    <col min="3" max="12" width="9.28515625" bestFit="1" customWidth="1"/>
  </cols>
  <sheetData>
    <row r="1" spans="1:12" s="1" customFormat="1" x14ac:dyDescent="0.25">
      <c r="A1" s="2" t="s">
        <v>0</v>
      </c>
    </row>
    <row r="3" spans="1:12" x14ac:dyDescent="0.25">
      <c r="A3" t="s">
        <v>1</v>
      </c>
    </row>
    <row r="4" spans="1:12" x14ac:dyDescent="0.25">
      <c r="B4" t="s">
        <v>2</v>
      </c>
      <c r="C4" t="s">
        <v>3</v>
      </c>
      <c r="D4" t="s">
        <v>4</v>
      </c>
      <c r="E4" t="s">
        <v>5</v>
      </c>
      <c r="F4" t="s">
        <v>6</v>
      </c>
      <c r="G4" t="s">
        <v>7</v>
      </c>
      <c r="H4" t="s">
        <v>8</v>
      </c>
      <c r="I4" t="s">
        <v>9</v>
      </c>
      <c r="J4" t="s">
        <v>10</v>
      </c>
      <c r="K4" t="s">
        <v>11</v>
      </c>
      <c r="L4" t="s">
        <v>12</v>
      </c>
    </row>
    <row r="5" spans="1:12" x14ac:dyDescent="0.25">
      <c r="B5" t="s">
        <v>13</v>
      </c>
      <c r="C5" s="3">
        <v>30990</v>
      </c>
      <c r="D5" s="3">
        <v>35119</v>
      </c>
      <c r="E5" s="3">
        <v>46542</v>
      </c>
      <c r="F5" s="3">
        <v>48017</v>
      </c>
      <c r="G5" s="3">
        <v>46854</v>
      </c>
      <c r="H5" s="3">
        <v>45998</v>
      </c>
      <c r="I5" s="3">
        <v>44294</v>
      </c>
      <c r="J5" s="3">
        <v>41863</v>
      </c>
      <c r="K5" s="3">
        <v>35410</v>
      </c>
      <c r="L5" s="3">
        <v>31856</v>
      </c>
    </row>
    <row r="6" spans="1:12" x14ac:dyDescent="0.25">
      <c r="B6" t="s">
        <v>14</v>
      </c>
      <c r="C6" s="3">
        <v>11088</v>
      </c>
      <c r="D6" s="3">
        <v>12693</v>
      </c>
      <c r="E6" s="3">
        <v>18215</v>
      </c>
      <c r="F6" s="3">
        <v>19053</v>
      </c>
      <c r="G6" s="3">
        <v>18421</v>
      </c>
      <c r="H6" s="3">
        <v>17889</v>
      </c>
      <c r="I6" s="3">
        <v>17482</v>
      </c>
      <c r="J6" s="3">
        <v>16465</v>
      </c>
      <c r="K6" s="3">
        <v>13255</v>
      </c>
      <c r="L6" s="3">
        <v>11770</v>
      </c>
    </row>
    <row r="7" spans="1:12" x14ac:dyDescent="0.25">
      <c r="B7" s="4" t="s">
        <v>15</v>
      </c>
      <c r="C7" s="5">
        <v>19902</v>
      </c>
      <c r="D7" s="5">
        <v>22426</v>
      </c>
      <c r="E7" s="5">
        <v>28327</v>
      </c>
      <c r="F7" s="5">
        <v>28964</v>
      </c>
      <c r="G7" s="5">
        <v>28433</v>
      </c>
      <c r="H7" s="5">
        <v>28109</v>
      </c>
      <c r="I7" s="5">
        <v>26812</v>
      </c>
      <c r="J7" s="5">
        <v>25398</v>
      </c>
      <c r="K7" s="5">
        <v>22155</v>
      </c>
      <c r="L7" s="5">
        <v>20086</v>
      </c>
    </row>
    <row r="8" spans="1:12" x14ac:dyDescent="0.25">
      <c r="B8" t="s">
        <v>16</v>
      </c>
      <c r="C8" s="3">
        <v>11358</v>
      </c>
      <c r="D8" s="3">
        <v>13194</v>
      </c>
      <c r="E8" s="3">
        <v>17422</v>
      </c>
      <c r="F8" s="3">
        <v>17738</v>
      </c>
      <c r="G8" s="3">
        <v>17310</v>
      </c>
      <c r="H8" s="3">
        <v>17218</v>
      </c>
      <c r="I8" s="3">
        <v>16427</v>
      </c>
      <c r="J8" s="3">
        <v>15262</v>
      </c>
      <c r="K8" s="3">
        <v>12654</v>
      </c>
      <c r="L8" s="3">
        <v>10307</v>
      </c>
    </row>
    <row r="9" spans="1:12" x14ac:dyDescent="0.25">
      <c r="B9" t="s">
        <v>17</v>
      </c>
      <c r="C9" s="3">
        <v>313</v>
      </c>
      <c r="D9" s="3">
        <v>819</v>
      </c>
      <c r="E9" s="3">
        <v>732</v>
      </c>
      <c r="F9" s="3">
        <v>447</v>
      </c>
      <c r="G9" s="3">
        <v>895</v>
      </c>
      <c r="H9" s="3">
        <v>1183</v>
      </c>
      <c r="I9" s="3">
        <v>1657</v>
      </c>
      <c r="J9" s="3">
        <v>1510</v>
      </c>
      <c r="K9" s="3">
        <v>1902</v>
      </c>
      <c r="L9" s="3">
        <v>1079</v>
      </c>
    </row>
    <row r="10" spans="1:12" x14ac:dyDescent="0.25">
      <c r="B10" s="4" t="s">
        <v>18</v>
      </c>
      <c r="C10" s="5">
        <v>8231</v>
      </c>
      <c r="D10" s="5">
        <v>8413</v>
      </c>
      <c r="E10" s="5">
        <v>10173</v>
      </c>
      <c r="F10" s="5">
        <v>10779</v>
      </c>
      <c r="G10" s="5">
        <v>10228</v>
      </c>
      <c r="H10" s="5">
        <v>9708</v>
      </c>
      <c r="I10" s="5">
        <v>8728</v>
      </c>
      <c r="J10" s="5">
        <v>8626</v>
      </c>
      <c r="K10" s="5">
        <v>7599</v>
      </c>
      <c r="L10" s="5">
        <v>8700</v>
      </c>
    </row>
    <row r="11" spans="1:12" x14ac:dyDescent="0.25">
      <c r="B11" t="s">
        <v>19</v>
      </c>
      <c r="C11" s="3">
        <v>249</v>
      </c>
      <c r="D11" s="3">
        <v>317</v>
      </c>
      <c r="E11" s="3">
        <v>483</v>
      </c>
      <c r="F11" s="3">
        <v>471</v>
      </c>
      <c r="G11" s="3">
        <v>534</v>
      </c>
      <c r="H11" s="3">
        <v>594</v>
      </c>
      <c r="I11" s="3">
        <v>613</v>
      </c>
      <c r="J11" s="3">
        <v>642</v>
      </c>
      <c r="K11" s="3">
        <v>677</v>
      </c>
      <c r="L11" s="3">
        <v>682</v>
      </c>
    </row>
    <row r="12" spans="1:12" x14ac:dyDescent="0.25">
      <c r="B12" t="s">
        <v>20</v>
      </c>
      <c r="C12" s="3">
        <v>355</v>
      </c>
      <c r="D12" s="3">
        <v>733</v>
      </c>
      <c r="E12" s="3">
        <v>417</v>
      </c>
      <c r="F12" s="3">
        <v>397</v>
      </c>
      <c r="G12" s="3">
        <v>463</v>
      </c>
      <c r="H12" s="3">
        <v>483</v>
      </c>
      <c r="I12" s="3">
        <v>856</v>
      </c>
      <c r="J12" s="3">
        <v>733</v>
      </c>
      <c r="K12" s="3">
        <v>841</v>
      </c>
      <c r="L12" s="3">
        <v>919</v>
      </c>
    </row>
    <row r="13" spans="1:12" x14ac:dyDescent="0.25">
      <c r="B13" t="s">
        <v>21</v>
      </c>
      <c r="C13" s="3">
        <v>781</v>
      </c>
      <c r="D13" s="3">
        <v>1025</v>
      </c>
      <c r="E13" s="3">
        <v>690</v>
      </c>
      <c r="F13" s="3">
        <v>819</v>
      </c>
      <c r="G13" s="3">
        <v>602</v>
      </c>
      <c r="H13" s="3">
        <v>769</v>
      </c>
      <c r="I13" s="3">
        <v>489</v>
      </c>
      <c r="J13" s="3">
        <v>835</v>
      </c>
      <c r="K13" s="3">
        <v>1071</v>
      </c>
      <c r="L13" s="3">
        <v>1008</v>
      </c>
    </row>
    <row r="14" spans="1:12" x14ac:dyDescent="0.25">
      <c r="B14" t="s">
        <v>22</v>
      </c>
      <c r="C14" s="3">
        <v>40</v>
      </c>
      <c r="D14" s="3">
        <v>5185</v>
      </c>
      <c r="E14" s="3">
        <v>529</v>
      </c>
      <c r="F14" s="3">
        <v>137</v>
      </c>
      <c r="G14" s="3">
        <v>576</v>
      </c>
      <c r="H14" s="3">
        <v>-1263</v>
      </c>
      <c r="I14" s="3">
        <v>631</v>
      </c>
      <c r="J14" s="3">
        <v>-1234</v>
      </c>
      <c r="K14" s="3">
        <v>-1764</v>
      </c>
      <c r="L14" s="3">
        <v>-1121</v>
      </c>
    </row>
    <row r="15" spans="1:12" x14ac:dyDescent="0.25">
      <c r="B15" s="4" t="s">
        <v>23</v>
      </c>
      <c r="C15" s="5">
        <v>8946</v>
      </c>
      <c r="D15" s="5">
        <v>14207</v>
      </c>
      <c r="E15" s="5">
        <v>11458</v>
      </c>
      <c r="F15" s="5">
        <v>11809</v>
      </c>
      <c r="G15" s="5">
        <v>11477</v>
      </c>
      <c r="H15" s="5">
        <v>9325</v>
      </c>
      <c r="I15" s="5">
        <v>9605</v>
      </c>
      <c r="J15" s="5">
        <v>8136</v>
      </c>
      <c r="K15" s="5">
        <v>6742</v>
      </c>
      <c r="L15" s="5">
        <v>8350</v>
      </c>
    </row>
    <row r="16" spans="1:12" x14ac:dyDescent="0.25">
      <c r="B16" t="s">
        <v>24</v>
      </c>
      <c r="C16" s="3">
        <v>2040</v>
      </c>
      <c r="D16" s="3">
        <v>2370</v>
      </c>
      <c r="E16" s="3">
        <v>2812</v>
      </c>
      <c r="F16" s="3">
        <v>2723</v>
      </c>
      <c r="G16" s="3">
        <v>2851</v>
      </c>
      <c r="H16" s="3">
        <v>2201</v>
      </c>
      <c r="I16" s="3">
        <v>2239</v>
      </c>
      <c r="J16" s="3">
        <v>1586</v>
      </c>
      <c r="K16" s="3">
        <v>5560</v>
      </c>
      <c r="L16" s="3">
        <v>1623</v>
      </c>
    </row>
    <row r="17" spans="1:12" x14ac:dyDescent="0.25">
      <c r="B17" s="4" t="s">
        <v>25</v>
      </c>
      <c r="C17" s="5">
        <v>6906</v>
      </c>
      <c r="D17" s="5">
        <v>11837</v>
      </c>
      <c r="E17" s="5">
        <v>8646</v>
      </c>
      <c r="F17" s="5">
        <v>9086</v>
      </c>
      <c r="G17" s="5">
        <v>8626</v>
      </c>
      <c r="H17" s="5">
        <v>7124</v>
      </c>
      <c r="I17" s="5">
        <v>7366</v>
      </c>
      <c r="J17" s="5">
        <v>6550</v>
      </c>
      <c r="K17" s="5">
        <v>1283</v>
      </c>
      <c r="L17" s="5">
        <v>6476</v>
      </c>
    </row>
    <row r="18" spans="1:12" x14ac:dyDescent="0.25">
      <c r="B18" t="s">
        <v>26</v>
      </c>
      <c r="C18" s="3">
        <v>82</v>
      </c>
      <c r="D18" s="3">
        <v>50</v>
      </c>
      <c r="E18" s="3">
        <v>62</v>
      </c>
      <c r="F18" s="3">
        <v>67</v>
      </c>
      <c r="G18" s="3">
        <v>42</v>
      </c>
      <c r="H18" s="3">
        <v>26</v>
      </c>
      <c r="I18" s="3">
        <v>15</v>
      </c>
      <c r="J18" s="3">
        <v>23</v>
      </c>
      <c r="K18" s="3">
        <v>35</v>
      </c>
      <c r="L18" s="3">
        <v>42</v>
      </c>
    </row>
    <row r="19" spans="1:12" x14ac:dyDescent="0.25">
      <c r="B19" t="s">
        <v>27</v>
      </c>
      <c r="I19" s="3">
        <v>7366</v>
      </c>
      <c r="J19" s="3">
        <v>6550</v>
      </c>
      <c r="K19" s="3">
        <v>1182</v>
      </c>
      <c r="L19" s="3">
        <v>6727</v>
      </c>
    </row>
    <row r="20" spans="1:12" x14ac:dyDescent="0.25">
      <c r="B20" t="s">
        <v>28</v>
      </c>
      <c r="I20" s="3">
        <v>0</v>
      </c>
      <c r="J20" s="3">
        <v>0</v>
      </c>
      <c r="K20" s="3">
        <v>101</v>
      </c>
      <c r="L20" s="3">
        <v>-251</v>
      </c>
    </row>
    <row r="21" spans="1:12" x14ac:dyDescent="0.25">
      <c r="B21" s="4" t="s">
        <v>29</v>
      </c>
      <c r="C21" s="5">
        <v>6824</v>
      </c>
      <c r="D21" s="5">
        <v>11787</v>
      </c>
      <c r="E21" s="5">
        <v>8584</v>
      </c>
      <c r="F21" s="5">
        <v>9019</v>
      </c>
      <c r="G21" s="5">
        <v>8584</v>
      </c>
      <c r="H21" s="5">
        <v>7098</v>
      </c>
      <c r="I21" s="5">
        <v>7351</v>
      </c>
      <c r="J21" s="5">
        <v>6527</v>
      </c>
      <c r="K21" s="5">
        <v>1248</v>
      </c>
      <c r="L21" s="5">
        <v>6434</v>
      </c>
    </row>
    <row r="23" spans="1:12" x14ac:dyDescent="0.25">
      <c r="A23" t="s">
        <v>30</v>
      </c>
    </row>
    <row r="24" spans="1:12" x14ac:dyDescent="0.25">
      <c r="B24" t="s">
        <v>2</v>
      </c>
      <c r="C24" t="s">
        <v>3</v>
      </c>
      <c r="D24" t="s">
        <v>4</v>
      </c>
      <c r="E24" t="s">
        <v>5</v>
      </c>
      <c r="F24" t="s">
        <v>6</v>
      </c>
      <c r="G24" t="s">
        <v>7</v>
      </c>
      <c r="H24" t="s">
        <v>8</v>
      </c>
      <c r="I24" t="s">
        <v>9</v>
      </c>
      <c r="J24" t="s">
        <v>10</v>
      </c>
      <c r="K24" t="s">
        <v>11</v>
      </c>
      <c r="L24" t="s">
        <v>12</v>
      </c>
    </row>
    <row r="25" spans="1:12" x14ac:dyDescent="0.25">
      <c r="B25" t="s">
        <v>31</v>
      </c>
    </row>
    <row r="26" spans="1:12" x14ac:dyDescent="0.25">
      <c r="B26" t="s">
        <v>32</v>
      </c>
      <c r="C26" s="3">
        <v>7021</v>
      </c>
      <c r="D26" s="3">
        <v>8517</v>
      </c>
      <c r="E26" s="3">
        <v>12803</v>
      </c>
      <c r="F26" s="3">
        <v>8442</v>
      </c>
      <c r="G26" s="3">
        <v>10414</v>
      </c>
      <c r="H26" s="3">
        <v>8958</v>
      </c>
      <c r="I26" s="3">
        <v>7309</v>
      </c>
      <c r="J26" s="3">
        <v>8555</v>
      </c>
      <c r="K26" s="3">
        <v>6006</v>
      </c>
      <c r="L26" s="3">
        <v>8926</v>
      </c>
    </row>
    <row r="27" spans="1:12" x14ac:dyDescent="0.25">
      <c r="B27" t="s">
        <v>33</v>
      </c>
      <c r="C27" s="3">
        <v>2130</v>
      </c>
      <c r="D27" s="3">
        <v>2682</v>
      </c>
      <c r="E27" s="3">
        <v>1088</v>
      </c>
      <c r="F27" s="3">
        <v>5017</v>
      </c>
      <c r="G27" s="3">
        <v>6707</v>
      </c>
      <c r="H27" s="3">
        <v>9052</v>
      </c>
      <c r="I27" s="3">
        <v>8322</v>
      </c>
      <c r="J27" s="3">
        <v>9595</v>
      </c>
      <c r="K27" s="3">
        <v>9352</v>
      </c>
      <c r="L27" s="3">
        <v>2025</v>
      </c>
    </row>
    <row r="28" spans="1:12" x14ac:dyDescent="0.25">
      <c r="B28" s="4" t="s">
        <v>34</v>
      </c>
      <c r="C28" s="5">
        <v>9151</v>
      </c>
      <c r="D28" s="5">
        <v>11199</v>
      </c>
      <c r="E28" s="5">
        <v>13891</v>
      </c>
      <c r="F28" s="5">
        <v>13459</v>
      </c>
      <c r="G28" s="5">
        <v>17121</v>
      </c>
      <c r="H28" s="5">
        <v>18010</v>
      </c>
      <c r="I28" s="5">
        <v>15631</v>
      </c>
      <c r="J28" s="5">
        <v>18150</v>
      </c>
      <c r="K28" s="5">
        <v>15358</v>
      </c>
      <c r="L28" s="5">
        <v>10951</v>
      </c>
    </row>
    <row r="29" spans="1:12" x14ac:dyDescent="0.25">
      <c r="B29" t="s">
        <v>35</v>
      </c>
      <c r="C29" s="3">
        <v>62</v>
      </c>
      <c r="D29" s="3">
        <v>138</v>
      </c>
      <c r="E29" s="3">
        <v>144</v>
      </c>
      <c r="F29" s="3">
        <v>3092</v>
      </c>
      <c r="G29" s="3">
        <v>3147</v>
      </c>
      <c r="H29" s="3">
        <v>3665</v>
      </c>
      <c r="I29" s="3">
        <v>4269</v>
      </c>
      <c r="J29" s="3">
        <v>4051</v>
      </c>
      <c r="K29" s="3">
        <v>5317</v>
      </c>
      <c r="L29" s="3">
        <v>5013</v>
      </c>
    </row>
    <row r="30" spans="1:12" x14ac:dyDescent="0.25">
      <c r="B30" t="s">
        <v>36</v>
      </c>
      <c r="C30" s="3">
        <v>3758</v>
      </c>
      <c r="D30" s="3">
        <v>4430</v>
      </c>
      <c r="E30" s="3">
        <v>4920</v>
      </c>
      <c r="F30" s="3">
        <v>4759</v>
      </c>
      <c r="G30" s="3">
        <v>4873</v>
      </c>
      <c r="H30" s="3">
        <v>4466</v>
      </c>
      <c r="I30" s="3">
        <v>3941</v>
      </c>
      <c r="J30" s="3">
        <v>3856</v>
      </c>
      <c r="K30" s="3">
        <v>3667</v>
      </c>
      <c r="L30" s="3">
        <v>3396</v>
      </c>
    </row>
    <row r="31" spans="1:12" x14ac:dyDescent="0.25">
      <c r="B31" t="s">
        <v>37</v>
      </c>
      <c r="C31" s="3">
        <v>2354</v>
      </c>
      <c r="D31" s="3">
        <v>2650</v>
      </c>
      <c r="E31" s="3">
        <v>3092</v>
      </c>
      <c r="F31" s="3">
        <v>3264</v>
      </c>
      <c r="G31" s="3">
        <v>3277</v>
      </c>
      <c r="H31" s="3">
        <v>3100</v>
      </c>
      <c r="I31" s="3">
        <v>2902</v>
      </c>
      <c r="J31" s="3">
        <v>2675</v>
      </c>
      <c r="K31" s="3">
        <v>2655</v>
      </c>
      <c r="L31" s="3">
        <v>2766</v>
      </c>
    </row>
    <row r="32" spans="1:12" x14ac:dyDescent="0.25">
      <c r="B32" t="s">
        <v>38</v>
      </c>
      <c r="C32" s="3">
        <v>2226</v>
      </c>
      <c r="D32" s="3">
        <v>3162</v>
      </c>
      <c r="E32" s="3">
        <v>3450</v>
      </c>
      <c r="F32" s="3">
        <v>2781</v>
      </c>
      <c r="G32" s="3">
        <v>2886</v>
      </c>
      <c r="H32" s="3">
        <v>3066</v>
      </c>
      <c r="I32" s="3">
        <v>2752</v>
      </c>
      <c r="J32" s="3">
        <v>2481</v>
      </c>
      <c r="K32" s="3">
        <v>2000</v>
      </c>
      <c r="L32" s="3">
        <v>1962</v>
      </c>
    </row>
    <row r="33" spans="2:12" x14ac:dyDescent="0.25">
      <c r="B33" t="s">
        <v>39</v>
      </c>
      <c r="E33" s="3">
        <v>0</v>
      </c>
      <c r="F33" s="3">
        <v>2973</v>
      </c>
      <c r="G33" s="3">
        <v>0</v>
      </c>
      <c r="H33" s="3">
        <v>679</v>
      </c>
      <c r="I33" s="3">
        <v>3900</v>
      </c>
      <c r="J33" s="3">
        <v>0</v>
      </c>
      <c r="K33" s="3">
        <v>7329</v>
      </c>
      <c r="L33" s="3">
        <v>6546</v>
      </c>
    </row>
    <row r="34" spans="2:12" x14ac:dyDescent="0.25">
      <c r="B34" t="s">
        <v>39</v>
      </c>
      <c r="J34" s="3">
        <v>2797</v>
      </c>
      <c r="K34" s="3">
        <v>219</v>
      </c>
      <c r="L34" s="3">
        <v>0</v>
      </c>
    </row>
    <row r="35" spans="2:12" x14ac:dyDescent="0.25">
      <c r="B35" s="4" t="s">
        <v>40</v>
      </c>
      <c r="C35" s="5">
        <v>17551</v>
      </c>
      <c r="D35" s="5">
        <v>21579</v>
      </c>
      <c r="E35" s="5">
        <v>25497</v>
      </c>
      <c r="F35" s="5">
        <v>30328</v>
      </c>
      <c r="G35" s="5">
        <v>31304</v>
      </c>
      <c r="H35" s="5">
        <v>32986</v>
      </c>
      <c r="I35" s="5">
        <v>33395</v>
      </c>
      <c r="J35" s="5">
        <v>34010</v>
      </c>
      <c r="K35" s="5">
        <v>36545</v>
      </c>
      <c r="L35" s="5">
        <v>30634</v>
      </c>
    </row>
    <row r="36" spans="2:12" x14ac:dyDescent="0.25">
      <c r="B36" t="s">
        <v>41</v>
      </c>
      <c r="C36" s="3">
        <v>6217</v>
      </c>
      <c r="D36" s="3">
        <v>6954</v>
      </c>
      <c r="E36" s="3">
        <v>7233</v>
      </c>
      <c r="F36" s="3">
        <v>9216</v>
      </c>
      <c r="G36" s="3">
        <v>10393</v>
      </c>
      <c r="H36" s="3">
        <v>9947</v>
      </c>
      <c r="I36" s="3">
        <v>12318</v>
      </c>
      <c r="J36" s="3">
        <v>16260</v>
      </c>
      <c r="K36" s="3">
        <v>20856</v>
      </c>
      <c r="L36" s="3">
        <v>19407</v>
      </c>
    </row>
    <row r="37" spans="2:12" x14ac:dyDescent="0.25">
      <c r="B37" t="s">
        <v>42</v>
      </c>
      <c r="C37" s="3">
        <v>538</v>
      </c>
      <c r="D37" s="3">
        <v>631</v>
      </c>
      <c r="E37" s="3">
        <v>1141</v>
      </c>
      <c r="F37" s="3">
        <v>1232</v>
      </c>
      <c r="G37" s="3">
        <v>1119</v>
      </c>
      <c r="H37" s="3">
        <v>3678</v>
      </c>
      <c r="I37" s="3">
        <v>3470</v>
      </c>
      <c r="J37" s="3">
        <v>989</v>
      </c>
      <c r="K37" s="3">
        <v>1096</v>
      </c>
      <c r="L37" s="3">
        <v>867</v>
      </c>
    </row>
    <row r="38" spans="2:12" x14ac:dyDescent="0.25">
      <c r="B38" t="s">
        <v>43</v>
      </c>
      <c r="C38" s="3">
        <v>1976</v>
      </c>
      <c r="D38" s="3">
        <v>2121</v>
      </c>
      <c r="E38" s="3">
        <v>3495</v>
      </c>
      <c r="F38" s="3">
        <v>3585</v>
      </c>
      <c r="G38" s="3">
        <v>4661</v>
      </c>
      <c r="H38" s="3">
        <v>4407</v>
      </c>
      <c r="I38" s="3">
        <v>4110</v>
      </c>
      <c r="J38" s="3">
        <v>4248</v>
      </c>
      <c r="K38" s="3">
        <v>4230</v>
      </c>
      <c r="L38" s="3">
        <v>4139</v>
      </c>
    </row>
    <row r="39" spans="2:12" x14ac:dyDescent="0.25">
      <c r="B39" t="s">
        <v>44</v>
      </c>
      <c r="C39" s="3">
        <v>9561</v>
      </c>
      <c r="D39" s="3">
        <v>14727</v>
      </c>
      <c r="E39" s="3">
        <v>14939</v>
      </c>
      <c r="F39" s="3">
        <v>14476</v>
      </c>
      <c r="G39" s="3">
        <v>14967</v>
      </c>
      <c r="H39" s="3">
        <v>14633</v>
      </c>
      <c r="I39" s="3">
        <v>12571</v>
      </c>
      <c r="J39" s="3">
        <v>10635</v>
      </c>
      <c r="K39" s="3">
        <v>8203</v>
      </c>
      <c r="L39" s="3">
        <v>8232</v>
      </c>
    </row>
    <row r="40" spans="2:12" x14ac:dyDescent="0.25">
      <c r="B40" t="s">
        <v>45</v>
      </c>
      <c r="K40" s="3">
        <v>330</v>
      </c>
      <c r="L40" s="3">
        <v>2667</v>
      </c>
    </row>
    <row r="41" spans="2:12" x14ac:dyDescent="0.25">
      <c r="B41" t="s">
        <v>46</v>
      </c>
      <c r="C41" s="3">
        <v>6183</v>
      </c>
      <c r="D41" s="3">
        <v>6356</v>
      </c>
      <c r="E41" s="3">
        <v>6430</v>
      </c>
      <c r="F41" s="3">
        <v>6527</v>
      </c>
      <c r="G41" s="3">
        <v>6744</v>
      </c>
      <c r="H41" s="3">
        <v>6533</v>
      </c>
      <c r="I41" s="3">
        <v>5989</v>
      </c>
      <c r="J41" s="3">
        <v>6097</v>
      </c>
      <c r="K41" s="3">
        <v>6729</v>
      </c>
      <c r="L41" s="3">
        <v>6682</v>
      </c>
    </row>
    <row r="42" spans="2:12" x14ac:dyDescent="0.25">
      <c r="B42" t="s">
        <v>47</v>
      </c>
      <c r="C42" s="3">
        <v>1953</v>
      </c>
      <c r="D42" s="3">
        <v>7511</v>
      </c>
      <c r="E42" s="3">
        <v>7770</v>
      </c>
      <c r="F42" s="3">
        <v>7405</v>
      </c>
      <c r="G42" s="3">
        <v>7415</v>
      </c>
      <c r="H42" s="3">
        <v>6689</v>
      </c>
      <c r="I42" s="3">
        <v>6000</v>
      </c>
      <c r="J42" s="3">
        <v>3676</v>
      </c>
      <c r="K42" s="3">
        <v>138</v>
      </c>
      <c r="L42" s="3">
        <v>51</v>
      </c>
    </row>
    <row r="43" spans="2:12" x14ac:dyDescent="0.25">
      <c r="B43" t="s">
        <v>48</v>
      </c>
      <c r="C43" s="3">
        <v>4224</v>
      </c>
      <c r="D43" s="3">
        <v>11665</v>
      </c>
      <c r="E43" s="3">
        <v>12219</v>
      </c>
      <c r="F43" s="3">
        <v>12255</v>
      </c>
      <c r="G43" s="3">
        <v>12312</v>
      </c>
      <c r="H43" s="3">
        <v>12100</v>
      </c>
      <c r="I43" s="3">
        <v>11289</v>
      </c>
      <c r="J43" s="3">
        <v>10629</v>
      </c>
      <c r="K43" s="3">
        <v>9401</v>
      </c>
      <c r="L43" s="3">
        <v>10263</v>
      </c>
    </row>
    <row r="44" spans="2:12" x14ac:dyDescent="0.25">
      <c r="B44" t="s">
        <v>49</v>
      </c>
      <c r="C44" s="3">
        <v>468</v>
      </c>
      <c r="D44" s="3">
        <v>1377</v>
      </c>
      <c r="E44" s="3">
        <v>1250</v>
      </c>
      <c r="F44" s="3">
        <v>1150</v>
      </c>
      <c r="G44" s="3">
        <v>1140</v>
      </c>
      <c r="H44" s="3">
        <v>1050</v>
      </c>
      <c r="I44" s="3">
        <v>854</v>
      </c>
      <c r="J44" s="3">
        <v>726</v>
      </c>
      <c r="K44" s="3">
        <v>368</v>
      </c>
      <c r="L44" s="3">
        <v>274</v>
      </c>
    </row>
    <row r="45" spans="2:12" x14ac:dyDescent="0.25">
      <c r="B45" s="4" t="s">
        <v>50</v>
      </c>
      <c r="C45" s="5">
        <v>48671</v>
      </c>
      <c r="D45" s="5">
        <v>72921</v>
      </c>
      <c r="E45" s="5">
        <v>79974</v>
      </c>
      <c r="F45" s="5">
        <v>86174</v>
      </c>
      <c r="G45" s="5">
        <v>90055</v>
      </c>
      <c r="H45" s="5">
        <v>92023</v>
      </c>
      <c r="I45" s="5">
        <v>89996</v>
      </c>
      <c r="J45" s="5">
        <v>87270</v>
      </c>
      <c r="K45" s="5">
        <v>87896</v>
      </c>
      <c r="L45" s="5">
        <v>83216</v>
      </c>
    </row>
    <row r="46" spans="2:12" x14ac:dyDescent="0.25">
      <c r="B46" t="s">
        <v>51</v>
      </c>
    </row>
    <row r="47" spans="2:12" x14ac:dyDescent="0.25">
      <c r="B47" t="s">
        <v>52</v>
      </c>
      <c r="C47" s="3">
        <v>6657</v>
      </c>
      <c r="D47" s="3">
        <v>8859</v>
      </c>
      <c r="E47" s="3">
        <v>9009</v>
      </c>
      <c r="F47" s="3">
        <v>8680</v>
      </c>
      <c r="G47" s="3">
        <v>9577</v>
      </c>
      <c r="H47" s="3">
        <v>9234</v>
      </c>
      <c r="I47" s="3">
        <v>9660</v>
      </c>
      <c r="J47" s="3">
        <v>9490</v>
      </c>
      <c r="K47" s="3">
        <v>8748</v>
      </c>
      <c r="L47" s="3">
        <v>8932</v>
      </c>
    </row>
    <row r="48" spans="2:12" x14ac:dyDescent="0.25">
      <c r="B48" t="s">
        <v>53</v>
      </c>
      <c r="C48" s="3">
        <v>6749</v>
      </c>
      <c r="D48" s="3">
        <v>8100</v>
      </c>
      <c r="E48" s="3">
        <v>12871</v>
      </c>
      <c r="F48" s="3">
        <v>16297</v>
      </c>
      <c r="G48" s="3">
        <v>16901</v>
      </c>
      <c r="H48" s="3">
        <v>19130</v>
      </c>
      <c r="I48" s="3">
        <v>13129</v>
      </c>
      <c r="J48" s="3">
        <v>12498</v>
      </c>
      <c r="K48" s="3">
        <v>13205</v>
      </c>
      <c r="L48" s="3">
        <v>13194</v>
      </c>
    </row>
    <row r="49" spans="2:12" x14ac:dyDescent="0.25">
      <c r="B49" t="s">
        <v>54</v>
      </c>
      <c r="C49" s="3">
        <v>51</v>
      </c>
      <c r="D49" s="3">
        <v>1276</v>
      </c>
      <c r="E49" s="3">
        <v>2041</v>
      </c>
      <c r="F49" s="3">
        <v>1577</v>
      </c>
      <c r="G49" s="3">
        <v>1024</v>
      </c>
      <c r="H49" s="3">
        <v>3552</v>
      </c>
      <c r="I49" s="3">
        <v>2676</v>
      </c>
      <c r="J49" s="3">
        <v>3527</v>
      </c>
      <c r="K49" s="3">
        <v>3298</v>
      </c>
      <c r="L49" s="3">
        <v>4997</v>
      </c>
    </row>
    <row r="50" spans="2:12" x14ac:dyDescent="0.25">
      <c r="B50" t="s">
        <v>55</v>
      </c>
      <c r="C50" s="3">
        <v>264</v>
      </c>
      <c r="D50" s="3">
        <v>273</v>
      </c>
      <c r="E50" s="3">
        <v>362</v>
      </c>
      <c r="F50" s="3">
        <v>471</v>
      </c>
      <c r="G50" s="3">
        <v>309</v>
      </c>
      <c r="H50" s="3">
        <v>400</v>
      </c>
      <c r="I50" s="3">
        <v>331</v>
      </c>
      <c r="J50" s="3">
        <v>307</v>
      </c>
      <c r="K50" s="3">
        <v>410</v>
      </c>
      <c r="L50" s="3">
        <v>378</v>
      </c>
    </row>
    <row r="51" spans="2:12" x14ac:dyDescent="0.25">
      <c r="B51" t="s">
        <v>56</v>
      </c>
      <c r="E51" s="3">
        <v>0</v>
      </c>
      <c r="F51" s="3">
        <v>796</v>
      </c>
      <c r="G51" s="3">
        <v>0</v>
      </c>
      <c r="H51" s="3">
        <v>58</v>
      </c>
      <c r="I51" s="3">
        <v>1133</v>
      </c>
      <c r="J51" s="3">
        <v>710</v>
      </c>
      <c r="K51" s="3">
        <v>37</v>
      </c>
      <c r="L51" s="3">
        <v>0</v>
      </c>
    </row>
    <row r="52" spans="2:12" x14ac:dyDescent="0.25">
      <c r="B52" t="s">
        <v>57</v>
      </c>
      <c r="J52" s="3">
        <v>0</v>
      </c>
      <c r="K52" s="3">
        <v>1496</v>
      </c>
      <c r="L52" s="3">
        <v>1722</v>
      </c>
    </row>
    <row r="53" spans="2:12" x14ac:dyDescent="0.25">
      <c r="B53" s="4" t="s">
        <v>58</v>
      </c>
      <c r="C53" s="5">
        <v>13721</v>
      </c>
      <c r="D53" s="5">
        <v>18508</v>
      </c>
      <c r="E53" s="5">
        <v>24283</v>
      </c>
      <c r="F53" s="5">
        <v>27821</v>
      </c>
      <c r="G53" s="5">
        <v>27811</v>
      </c>
      <c r="H53" s="5">
        <v>32374</v>
      </c>
      <c r="I53" s="5">
        <v>26929</v>
      </c>
      <c r="J53" s="5">
        <v>26532</v>
      </c>
      <c r="K53" s="5">
        <v>27194</v>
      </c>
      <c r="L53" s="5">
        <v>29223</v>
      </c>
    </row>
    <row r="54" spans="2:12" x14ac:dyDescent="0.25">
      <c r="B54" t="s">
        <v>59</v>
      </c>
      <c r="C54" s="3">
        <v>5059</v>
      </c>
      <c r="D54" s="3">
        <v>14041</v>
      </c>
      <c r="E54" s="3">
        <v>13656</v>
      </c>
      <c r="F54" s="3">
        <v>14736</v>
      </c>
      <c r="G54" s="3">
        <v>19154</v>
      </c>
      <c r="H54" s="3">
        <v>19063</v>
      </c>
      <c r="I54" s="3">
        <v>28311</v>
      </c>
      <c r="J54" s="3">
        <v>29684</v>
      </c>
      <c r="K54" s="3">
        <v>31182</v>
      </c>
      <c r="L54" s="3">
        <v>25364</v>
      </c>
    </row>
    <row r="55" spans="2:12" x14ac:dyDescent="0.25">
      <c r="B55" t="s">
        <v>60</v>
      </c>
      <c r="C55" s="3">
        <v>2965</v>
      </c>
      <c r="D55" s="3">
        <v>4794</v>
      </c>
      <c r="E55" s="3">
        <v>5420</v>
      </c>
      <c r="F55" s="3">
        <v>5468</v>
      </c>
      <c r="G55" s="3">
        <v>3498</v>
      </c>
      <c r="H55" s="3">
        <v>4389</v>
      </c>
      <c r="I55" s="3">
        <v>4301</v>
      </c>
      <c r="J55" s="3">
        <v>4081</v>
      </c>
      <c r="K55" s="3">
        <v>8021</v>
      </c>
      <c r="L55" s="3">
        <v>7638</v>
      </c>
    </row>
    <row r="56" spans="2:12" x14ac:dyDescent="0.25">
      <c r="B56" t="s">
        <v>61</v>
      </c>
      <c r="C56" s="3">
        <v>1580</v>
      </c>
      <c r="D56" s="3">
        <v>4261</v>
      </c>
      <c r="E56" s="3">
        <v>4694</v>
      </c>
      <c r="F56" s="3">
        <v>4981</v>
      </c>
      <c r="G56" s="3">
        <v>6152</v>
      </c>
      <c r="H56" s="3">
        <v>5636</v>
      </c>
      <c r="I56" s="3">
        <v>4691</v>
      </c>
      <c r="J56" s="3">
        <v>3753</v>
      </c>
      <c r="K56" s="3">
        <v>2522</v>
      </c>
      <c r="L56" s="3">
        <v>1933</v>
      </c>
    </row>
    <row r="57" spans="2:12" x14ac:dyDescent="0.25">
      <c r="B57" t="s">
        <v>62</v>
      </c>
      <c r="C57" s="3">
        <v>880</v>
      </c>
      <c r="D57" s="3">
        <v>880</v>
      </c>
      <c r="E57" s="3">
        <v>1760</v>
      </c>
      <c r="F57" s="3">
        <v>1760</v>
      </c>
      <c r="G57" s="3">
        <v>1760</v>
      </c>
      <c r="H57" s="3">
        <v>1760</v>
      </c>
      <c r="I57" s="3">
        <v>1760</v>
      </c>
      <c r="J57" s="3">
        <v>1760</v>
      </c>
      <c r="K57" s="3">
        <v>1760</v>
      </c>
      <c r="L57" s="3">
        <v>1760</v>
      </c>
    </row>
    <row r="58" spans="2:12" x14ac:dyDescent="0.25">
      <c r="B58" t="s">
        <v>63</v>
      </c>
      <c r="C58" s="3">
        <v>8537</v>
      </c>
      <c r="D58" s="3">
        <v>10057</v>
      </c>
      <c r="E58" s="3">
        <v>10332</v>
      </c>
      <c r="F58" s="3">
        <v>11379</v>
      </c>
      <c r="G58" s="3">
        <v>12276</v>
      </c>
      <c r="H58" s="3">
        <v>13154</v>
      </c>
      <c r="I58" s="3">
        <v>14016</v>
      </c>
      <c r="J58" s="3">
        <v>14993</v>
      </c>
      <c r="K58" s="3">
        <v>15864</v>
      </c>
      <c r="L58" s="3">
        <v>16520</v>
      </c>
    </row>
    <row r="59" spans="2:12" x14ac:dyDescent="0.25">
      <c r="B59" t="s">
        <v>64</v>
      </c>
      <c r="C59" s="3">
        <v>41537</v>
      </c>
      <c r="D59" s="3">
        <v>49278</v>
      </c>
      <c r="E59" s="3">
        <v>53621</v>
      </c>
      <c r="F59" s="3">
        <v>58045</v>
      </c>
      <c r="G59" s="3">
        <v>61660</v>
      </c>
      <c r="H59" s="3">
        <v>63408</v>
      </c>
      <c r="I59" s="3">
        <v>65018</v>
      </c>
      <c r="J59" s="3">
        <v>65502</v>
      </c>
      <c r="K59" s="3">
        <v>60430</v>
      </c>
      <c r="L59" s="3">
        <v>63234</v>
      </c>
    </row>
    <row r="60" spans="2:12" x14ac:dyDescent="0.25">
      <c r="B60" t="s">
        <v>65</v>
      </c>
      <c r="C60" s="3">
        <v>-757</v>
      </c>
      <c r="D60" s="3">
        <v>-1450</v>
      </c>
      <c r="E60" s="3">
        <v>-2774</v>
      </c>
      <c r="F60" s="3">
        <v>-3385</v>
      </c>
      <c r="G60" s="3">
        <v>-3432</v>
      </c>
      <c r="H60" s="3">
        <v>-5777</v>
      </c>
      <c r="I60" s="3">
        <v>-10174</v>
      </c>
      <c r="J60" s="3">
        <v>-11205</v>
      </c>
      <c r="K60" s="3">
        <v>-10305</v>
      </c>
      <c r="L60" s="3">
        <v>-12814</v>
      </c>
    </row>
    <row r="61" spans="2:12" x14ac:dyDescent="0.25">
      <c r="B61" t="s">
        <v>66</v>
      </c>
      <c r="C61" s="3">
        <v>-25398</v>
      </c>
      <c r="D61" s="3">
        <v>-27762</v>
      </c>
      <c r="E61" s="3">
        <v>-31304</v>
      </c>
      <c r="F61" s="3">
        <v>-35009</v>
      </c>
      <c r="G61" s="3">
        <v>-39091</v>
      </c>
      <c r="H61" s="3">
        <v>-42225</v>
      </c>
      <c r="I61" s="3">
        <v>-45066</v>
      </c>
      <c r="J61" s="3">
        <v>-47988</v>
      </c>
      <c r="K61" s="3">
        <v>-50677</v>
      </c>
      <c r="L61" s="3">
        <v>-51719</v>
      </c>
    </row>
    <row r="62" spans="2:12" x14ac:dyDescent="0.25">
      <c r="B62" s="4" t="s">
        <v>67</v>
      </c>
      <c r="C62" s="5">
        <v>24799</v>
      </c>
      <c r="D62" s="5">
        <v>31003</v>
      </c>
      <c r="E62" s="5">
        <v>31635</v>
      </c>
      <c r="F62" s="5">
        <v>32790</v>
      </c>
      <c r="G62" s="5">
        <v>33173</v>
      </c>
      <c r="H62" s="5">
        <v>30320</v>
      </c>
      <c r="I62" s="5">
        <v>25554</v>
      </c>
      <c r="J62" s="5">
        <v>23062</v>
      </c>
      <c r="K62" s="5">
        <v>17072</v>
      </c>
      <c r="L62" s="5">
        <v>16981</v>
      </c>
    </row>
    <row r="63" spans="2:12" x14ac:dyDescent="0.25">
      <c r="B63" t="s">
        <v>68</v>
      </c>
      <c r="C63" s="3">
        <v>547</v>
      </c>
      <c r="D63" s="3">
        <v>314</v>
      </c>
      <c r="E63" s="3">
        <v>286</v>
      </c>
      <c r="F63" s="3">
        <v>378</v>
      </c>
      <c r="G63" s="3">
        <v>267</v>
      </c>
      <c r="H63" s="3">
        <v>241</v>
      </c>
      <c r="I63" s="3">
        <v>210</v>
      </c>
      <c r="J63" s="3">
        <v>158</v>
      </c>
      <c r="K63" s="3">
        <v>1905</v>
      </c>
      <c r="L63" s="3">
        <v>2077</v>
      </c>
    </row>
    <row r="64" spans="2:12" x14ac:dyDescent="0.25">
      <c r="B64" s="4" t="s">
        <v>69</v>
      </c>
      <c r="C64" s="5">
        <v>25346</v>
      </c>
      <c r="D64" s="5">
        <v>31317</v>
      </c>
      <c r="E64" s="5">
        <v>31921</v>
      </c>
      <c r="F64" s="5">
        <v>33168</v>
      </c>
      <c r="G64" s="5">
        <v>33440</v>
      </c>
      <c r="H64" s="5">
        <v>30561</v>
      </c>
      <c r="I64" s="5">
        <v>25764</v>
      </c>
      <c r="J64" s="5">
        <v>23220</v>
      </c>
      <c r="K64" s="5">
        <v>18977</v>
      </c>
      <c r="L64" s="5">
        <v>19058</v>
      </c>
    </row>
    <row r="65" spans="1:12" x14ac:dyDescent="0.25">
      <c r="B65" s="4" t="s">
        <v>70</v>
      </c>
      <c r="C65" s="5">
        <v>48671</v>
      </c>
      <c r="D65" s="5">
        <v>72921</v>
      </c>
      <c r="E65" s="5">
        <v>79974</v>
      </c>
      <c r="F65" s="5">
        <v>86174</v>
      </c>
      <c r="G65" s="5">
        <v>90055</v>
      </c>
      <c r="H65" s="5">
        <v>92023</v>
      </c>
      <c r="I65" s="5">
        <v>89996</v>
      </c>
      <c r="J65" s="5">
        <v>87270</v>
      </c>
      <c r="K65" s="5">
        <v>87896</v>
      </c>
      <c r="L65" s="5">
        <v>83216</v>
      </c>
    </row>
    <row r="67" spans="1:12" x14ac:dyDescent="0.25">
      <c r="A67" t="s">
        <v>71</v>
      </c>
    </row>
    <row r="68" spans="1:12" x14ac:dyDescent="0.25">
      <c r="B68" t="s">
        <v>2</v>
      </c>
      <c r="C68" t="s">
        <v>3</v>
      </c>
      <c r="D68" t="s">
        <v>4</v>
      </c>
      <c r="E68" t="s">
        <v>5</v>
      </c>
      <c r="F68" t="s">
        <v>6</v>
      </c>
      <c r="G68" t="s">
        <v>7</v>
      </c>
      <c r="H68" t="s">
        <v>8</v>
      </c>
      <c r="I68" t="s">
        <v>9</v>
      </c>
      <c r="J68" t="s">
        <v>10</v>
      </c>
      <c r="K68" t="s">
        <v>11</v>
      </c>
      <c r="L68" t="s">
        <v>12</v>
      </c>
    </row>
    <row r="69" spans="1:12" x14ac:dyDescent="0.25">
      <c r="B69" t="s">
        <v>25</v>
      </c>
      <c r="C69" s="3">
        <v>6906</v>
      </c>
      <c r="D69" s="3">
        <v>11837</v>
      </c>
      <c r="E69" s="3">
        <v>8646</v>
      </c>
      <c r="F69" s="3">
        <v>9086</v>
      </c>
      <c r="G69" s="3">
        <v>8626</v>
      </c>
      <c r="H69" s="3">
        <v>7124</v>
      </c>
      <c r="I69" s="3">
        <v>7366</v>
      </c>
      <c r="J69" s="3">
        <v>6550</v>
      </c>
      <c r="K69" s="3">
        <v>1283</v>
      </c>
      <c r="L69" s="3">
        <v>6476</v>
      </c>
    </row>
    <row r="70" spans="1:12" x14ac:dyDescent="0.25">
      <c r="B70" t="s">
        <v>72</v>
      </c>
      <c r="C70" s="3">
        <v>1236</v>
      </c>
      <c r="D70" s="3">
        <v>1443</v>
      </c>
      <c r="E70" s="3">
        <v>1954</v>
      </c>
      <c r="F70" s="3">
        <v>1982</v>
      </c>
      <c r="G70" s="3">
        <v>1977</v>
      </c>
      <c r="H70" s="3">
        <v>1976</v>
      </c>
      <c r="I70" s="3">
        <v>1970</v>
      </c>
      <c r="J70" s="3">
        <v>1787</v>
      </c>
      <c r="K70" s="3">
        <v>1260</v>
      </c>
      <c r="L70" s="3">
        <v>1086</v>
      </c>
    </row>
    <row r="71" spans="1:12" x14ac:dyDescent="0.25">
      <c r="B71" t="s">
        <v>73</v>
      </c>
      <c r="I71" s="3">
        <v>0</v>
      </c>
      <c r="J71" s="3">
        <v>0</v>
      </c>
      <c r="K71" s="3">
        <v>-101</v>
      </c>
      <c r="L71" s="3">
        <v>251</v>
      </c>
    </row>
    <row r="72" spans="1:12" x14ac:dyDescent="0.25">
      <c r="B72" t="s">
        <v>27</v>
      </c>
      <c r="I72" s="3">
        <v>7366</v>
      </c>
      <c r="J72" s="3">
        <v>6550</v>
      </c>
      <c r="K72" s="3">
        <v>1182</v>
      </c>
      <c r="L72" s="3">
        <v>6727</v>
      </c>
    </row>
    <row r="73" spans="1:12" x14ac:dyDescent="0.25">
      <c r="B73" t="s">
        <v>74</v>
      </c>
      <c r="C73" s="3">
        <v>241</v>
      </c>
      <c r="D73" s="3">
        <v>380</v>
      </c>
      <c r="E73" s="3">
        <v>354</v>
      </c>
      <c r="F73" s="3">
        <v>259</v>
      </c>
      <c r="G73" s="3">
        <v>227</v>
      </c>
      <c r="H73" s="3">
        <v>209</v>
      </c>
      <c r="I73" s="3">
        <v>236</v>
      </c>
      <c r="J73" s="3">
        <v>258</v>
      </c>
      <c r="K73" s="3">
        <v>219</v>
      </c>
      <c r="L73" s="3">
        <v>225</v>
      </c>
    </row>
    <row r="74" spans="1:12" x14ac:dyDescent="0.25">
      <c r="B74" t="s">
        <v>61</v>
      </c>
      <c r="C74" s="3">
        <v>353</v>
      </c>
      <c r="D74" s="3">
        <v>604</v>
      </c>
      <c r="E74" s="3">
        <v>1035</v>
      </c>
      <c r="F74" s="3">
        <v>632</v>
      </c>
      <c r="G74" s="3">
        <v>648</v>
      </c>
      <c r="H74" s="3">
        <v>-40</v>
      </c>
      <c r="I74" s="3">
        <v>73</v>
      </c>
      <c r="J74" s="3">
        <v>-856</v>
      </c>
      <c r="K74" s="3">
        <v>-1256</v>
      </c>
      <c r="L74" s="3">
        <v>-450</v>
      </c>
    </row>
    <row r="75" spans="1:12" x14ac:dyDescent="0.25">
      <c r="B75" t="s">
        <v>75</v>
      </c>
      <c r="C75" s="3">
        <v>-359</v>
      </c>
      <c r="D75" s="3">
        <v>-671</v>
      </c>
      <c r="E75" s="3">
        <v>-269</v>
      </c>
      <c r="F75" s="3">
        <v>-426</v>
      </c>
      <c r="G75" s="3">
        <v>-201</v>
      </c>
      <c r="H75" s="3">
        <v>-371</v>
      </c>
      <c r="I75" s="3">
        <v>-122</v>
      </c>
      <c r="J75" s="3">
        <v>-449</v>
      </c>
      <c r="K75" s="3">
        <v>-628</v>
      </c>
      <c r="L75" s="3">
        <v>-457</v>
      </c>
    </row>
    <row r="76" spans="1:12" x14ac:dyDescent="0.25">
      <c r="B76" t="s">
        <v>76</v>
      </c>
      <c r="C76" s="3">
        <v>61</v>
      </c>
      <c r="D76" s="3">
        <v>151</v>
      </c>
      <c r="E76" s="3">
        <v>7</v>
      </c>
      <c r="F76" s="3">
        <v>-130</v>
      </c>
      <c r="G76" s="3">
        <v>168</v>
      </c>
      <c r="H76" s="3">
        <v>415</v>
      </c>
      <c r="I76" s="3">
        <v>-137</v>
      </c>
      <c r="J76" s="3">
        <v>158</v>
      </c>
      <c r="K76" s="3">
        <v>281</v>
      </c>
      <c r="L76" s="3">
        <v>-38</v>
      </c>
    </row>
    <row r="77" spans="1:12" x14ac:dyDescent="0.25">
      <c r="B77" t="s">
        <v>77</v>
      </c>
      <c r="C77" s="3">
        <v>-43</v>
      </c>
      <c r="D77" s="3">
        <v>-645</v>
      </c>
      <c r="E77" s="3">
        <v>-220</v>
      </c>
      <c r="F77" s="3">
        <v>-98</v>
      </c>
      <c r="G77" s="3">
        <v>-670</v>
      </c>
      <c r="H77" s="3">
        <v>831</v>
      </c>
      <c r="I77" s="3">
        <v>-374</v>
      </c>
      <c r="J77" s="3">
        <v>1146</v>
      </c>
      <c r="K77" s="3">
        <v>1459</v>
      </c>
      <c r="L77" s="3">
        <v>189</v>
      </c>
    </row>
    <row r="78" spans="1:12" x14ac:dyDescent="0.25">
      <c r="B78" t="s">
        <v>78</v>
      </c>
      <c r="C78" s="3">
        <v>0</v>
      </c>
      <c r="D78" s="3">
        <v>-4713</v>
      </c>
    </row>
    <row r="79" spans="1:12" x14ac:dyDescent="0.25">
      <c r="B79" t="s">
        <v>17</v>
      </c>
      <c r="C79" s="3">
        <v>134</v>
      </c>
      <c r="D79" s="3">
        <v>264</v>
      </c>
      <c r="E79" s="3">
        <v>214</v>
      </c>
      <c r="F79" s="3">
        <v>166</v>
      </c>
      <c r="G79" s="3">
        <v>465</v>
      </c>
      <c r="H79" s="3">
        <v>761</v>
      </c>
      <c r="I79" s="3">
        <v>929</v>
      </c>
      <c r="J79" s="3">
        <v>647</v>
      </c>
      <c r="K79" s="3">
        <v>1218</v>
      </c>
      <c r="L79" s="3">
        <v>558</v>
      </c>
    </row>
    <row r="80" spans="1:12" x14ac:dyDescent="0.25">
      <c r="B80" t="s">
        <v>79</v>
      </c>
      <c r="C80" s="3">
        <v>221</v>
      </c>
      <c r="D80" s="3">
        <v>512</v>
      </c>
      <c r="E80" s="3">
        <v>-354</v>
      </c>
      <c r="F80" s="3">
        <v>254</v>
      </c>
      <c r="G80" s="3">
        <v>234</v>
      </c>
      <c r="H80" s="3">
        <v>149</v>
      </c>
      <c r="I80" s="3">
        <v>744</v>
      </c>
      <c r="J80" s="3">
        <v>-224</v>
      </c>
      <c r="K80" s="3">
        <v>-269</v>
      </c>
      <c r="L80" s="3">
        <v>682</v>
      </c>
    </row>
    <row r="81" spans="2:12" x14ac:dyDescent="0.25">
      <c r="B81" t="s">
        <v>80</v>
      </c>
      <c r="C81" s="3">
        <v>-564</v>
      </c>
      <c r="D81" s="3">
        <v>370</v>
      </c>
      <c r="E81" s="3">
        <v>-1893</v>
      </c>
      <c r="F81" s="3">
        <v>-1080</v>
      </c>
      <c r="G81" s="3">
        <v>-932</v>
      </c>
      <c r="H81" s="3">
        <v>-439</v>
      </c>
      <c r="I81" s="3">
        <v>-157</v>
      </c>
      <c r="J81" s="3">
        <v>-221</v>
      </c>
      <c r="K81" s="3">
        <v>3464</v>
      </c>
      <c r="L81" s="3">
        <v>-1202</v>
      </c>
    </row>
    <row r="82" spans="2:12" x14ac:dyDescent="0.25">
      <c r="B82" s="4" t="s">
        <v>81</v>
      </c>
      <c r="C82" s="5">
        <v>8186</v>
      </c>
      <c r="D82" s="5">
        <v>9532</v>
      </c>
      <c r="E82" s="5">
        <v>9474</v>
      </c>
      <c r="F82" s="5">
        <v>10645</v>
      </c>
      <c r="G82" s="5">
        <v>10542</v>
      </c>
      <c r="H82" s="5">
        <v>10615</v>
      </c>
      <c r="I82" s="5">
        <v>10528</v>
      </c>
      <c r="J82" s="5">
        <v>8796</v>
      </c>
      <c r="K82" s="5">
        <v>6930</v>
      </c>
      <c r="L82" s="5">
        <v>7320</v>
      </c>
    </row>
    <row r="83" spans="2:12" x14ac:dyDescent="0.25">
      <c r="B83" t="s">
        <v>82</v>
      </c>
      <c r="C83" s="3">
        <v>-2130</v>
      </c>
      <c r="D83" s="3">
        <v>-4579</v>
      </c>
    </row>
    <row r="84" spans="2:12" x14ac:dyDescent="0.25">
      <c r="B84" t="s">
        <v>83</v>
      </c>
      <c r="C84" s="3">
        <v>-22</v>
      </c>
      <c r="D84" s="3">
        <v>-132</v>
      </c>
      <c r="E84" s="3">
        <v>-4798</v>
      </c>
      <c r="F84" s="3">
        <v>-14824</v>
      </c>
      <c r="G84" s="3">
        <v>-14782</v>
      </c>
      <c r="H84" s="3">
        <v>-17800</v>
      </c>
      <c r="I84" s="3">
        <v>-15831</v>
      </c>
      <c r="J84" s="3">
        <v>-15499</v>
      </c>
      <c r="K84" s="3">
        <v>-17296</v>
      </c>
      <c r="L84" s="3">
        <v>-7789</v>
      </c>
    </row>
    <row r="85" spans="2:12" x14ac:dyDescent="0.25">
      <c r="B85" t="s">
        <v>84</v>
      </c>
      <c r="C85" s="3">
        <v>0</v>
      </c>
      <c r="D85" s="3">
        <v>4032</v>
      </c>
      <c r="E85" s="3">
        <v>5811</v>
      </c>
      <c r="F85" s="3">
        <v>7791</v>
      </c>
      <c r="G85" s="3">
        <v>12791</v>
      </c>
      <c r="H85" s="3">
        <v>12986</v>
      </c>
      <c r="I85" s="3">
        <v>14079</v>
      </c>
      <c r="J85" s="3">
        <v>16624</v>
      </c>
      <c r="K85" s="3">
        <v>16694</v>
      </c>
      <c r="L85" s="3">
        <v>14977</v>
      </c>
    </row>
    <row r="86" spans="2:12" x14ac:dyDescent="0.25">
      <c r="B86" t="s">
        <v>85</v>
      </c>
      <c r="C86" s="3">
        <v>-300</v>
      </c>
      <c r="D86" s="3">
        <v>-2511</v>
      </c>
      <c r="E86" s="3">
        <v>-971</v>
      </c>
      <c r="F86" s="3">
        <v>-1486</v>
      </c>
      <c r="G86" s="3">
        <v>-353</v>
      </c>
      <c r="H86" s="3">
        <v>-389</v>
      </c>
      <c r="I86" s="3">
        <v>-2491</v>
      </c>
      <c r="J86" s="3">
        <v>-838</v>
      </c>
      <c r="K86" s="3">
        <v>-3809</v>
      </c>
      <c r="L86" s="3">
        <v>-1040</v>
      </c>
    </row>
    <row r="87" spans="2:12" x14ac:dyDescent="0.25">
      <c r="B87" t="s">
        <v>86</v>
      </c>
      <c r="C87" s="3">
        <v>240</v>
      </c>
      <c r="D87" s="3">
        <v>972</v>
      </c>
      <c r="E87" s="3">
        <v>398</v>
      </c>
      <c r="F87" s="3">
        <v>20</v>
      </c>
      <c r="G87" s="3">
        <v>872</v>
      </c>
      <c r="H87" s="3">
        <v>148</v>
      </c>
      <c r="I87" s="3">
        <v>565</v>
      </c>
      <c r="J87" s="3">
        <v>1035</v>
      </c>
      <c r="K87" s="3">
        <v>3821</v>
      </c>
      <c r="L87" s="3">
        <v>1362</v>
      </c>
    </row>
    <row r="88" spans="2:12" x14ac:dyDescent="0.25">
      <c r="B88" t="s">
        <v>87</v>
      </c>
      <c r="C88" s="3">
        <v>-1993</v>
      </c>
      <c r="D88" s="3">
        <v>-2215</v>
      </c>
      <c r="E88" s="3">
        <v>-2920</v>
      </c>
      <c r="F88" s="3">
        <v>-2780</v>
      </c>
      <c r="G88" s="3">
        <v>-2550</v>
      </c>
      <c r="H88" s="3">
        <v>-2406</v>
      </c>
      <c r="I88" s="3">
        <v>-2553</v>
      </c>
      <c r="J88" s="3">
        <v>-2262</v>
      </c>
      <c r="K88" s="3">
        <v>-1675</v>
      </c>
      <c r="L88" s="3">
        <v>-1347</v>
      </c>
    </row>
    <row r="89" spans="2:12" x14ac:dyDescent="0.25">
      <c r="B89" t="s">
        <v>88</v>
      </c>
      <c r="C89" s="3">
        <v>104</v>
      </c>
      <c r="D89" s="3">
        <v>134</v>
      </c>
      <c r="E89" s="3">
        <v>101</v>
      </c>
      <c r="F89" s="3">
        <v>143</v>
      </c>
      <c r="G89" s="3">
        <v>111</v>
      </c>
      <c r="H89" s="3">
        <v>223</v>
      </c>
      <c r="I89" s="3">
        <v>85</v>
      </c>
      <c r="J89" s="3">
        <v>150</v>
      </c>
      <c r="K89" s="3">
        <v>104</v>
      </c>
      <c r="L89" s="3">
        <v>245</v>
      </c>
    </row>
    <row r="90" spans="2:12" x14ac:dyDescent="0.25">
      <c r="B90" t="s">
        <v>89</v>
      </c>
      <c r="C90" s="3">
        <v>-48</v>
      </c>
      <c r="D90" s="3">
        <v>-106</v>
      </c>
      <c r="E90" s="3">
        <v>-145</v>
      </c>
      <c r="F90" s="3">
        <v>-268</v>
      </c>
      <c r="G90" s="3">
        <v>-303</v>
      </c>
      <c r="H90" s="3">
        <v>-268</v>
      </c>
      <c r="I90" s="3">
        <v>-40</v>
      </c>
      <c r="J90" s="3">
        <v>-209</v>
      </c>
      <c r="K90" s="3">
        <v>-93</v>
      </c>
      <c r="L90" s="3">
        <v>-60</v>
      </c>
    </row>
    <row r="91" spans="2:12" x14ac:dyDescent="0.25">
      <c r="B91" s="4" t="s">
        <v>90</v>
      </c>
      <c r="C91" s="5">
        <v>-4149</v>
      </c>
      <c r="D91" s="5">
        <v>-4405</v>
      </c>
      <c r="E91" s="5">
        <v>-2524</v>
      </c>
      <c r="F91" s="5">
        <v>-11404</v>
      </c>
      <c r="G91" s="5">
        <v>-4214</v>
      </c>
      <c r="H91" s="5">
        <v>-7506</v>
      </c>
      <c r="I91" s="5">
        <v>-6186</v>
      </c>
      <c r="J91" s="5">
        <v>-999</v>
      </c>
      <c r="K91" s="5">
        <v>-2254</v>
      </c>
      <c r="L91" s="5">
        <v>6348</v>
      </c>
    </row>
    <row r="92" spans="2:12" x14ac:dyDescent="0.25">
      <c r="B92" t="s">
        <v>91</v>
      </c>
      <c r="C92" s="3">
        <v>14689</v>
      </c>
      <c r="D92" s="3">
        <v>15251</v>
      </c>
      <c r="E92" s="3">
        <v>27495</v>
      </c>
      <c r="F92" s="3">
        <v>42791</v>
      </c>
      <c r="G92" s="3">
        <v>43425</v>
      </c>
      <c r="H92" s="3">
        <v>41674</v>
      </c>
      <c r="I92" s="3">
        <v>40434</v>
      </c>
      <c r="J92" s="3">
        <v>27281</v>
      </c>
      <c r="K92" s="3">
        <v>29857</v>
      </c>
      <c r="L92" s="3">
        <v>27339</v>
      </c>
    </row>
    <row r="93" spans="2:12" x14ac:dyDescent="0.25">
      <c r="B93" t="s">
        <v>92</v>
      </c>
      <c r="C93" s="3">
        <v>-12326</v>
      </c>
      <c r="D93" s="3">
        <v>-13403</v>
      </c>
      <c r="E93" s="3">
        <v>-22530</v>
      </c>
      <c r="F93" s="3">
        <v>-38573</v>
      </c>
      <c r="G93" s="3">
        <v>-38714</v>
      </c>
      <c r="H93" s="3">
        <v>-36962</v>
      </c>
      <c r="I93" s="3">
        <v>-37738</v>
      </c>
      <c r="J93" s="3">
        <v>-25615</v>
      </c>
      <c r="K93" s="3">
        <v>-28768</v>
      </c>
      <c r="L93" s="3">
        <v>-30568</v>
      </c>
    </row>
    <row r="94" spans="2:12" x14ac:dyDescent="0.25">
      <c r="B94" t="s">
        <v>93</v>
      </c>
      <c r="C94" s="3">
        <v>664</v>
      </c>
      <c r="D94" s="3">
        <v>1666</v>
      </c>
      <c r="E94" s="3">
        <v>1569</v>
      </c>
      <c r="F94" s="3">
        <v>1489</v>
      </c>
      <c r="G94" s="3">
        <v>1328</v>
      </c>
      <c r="H94" s="3">
        <v>1532</v>
      </c>
      <c r="I94" s="3">
        <v>1245</v>
      </c>
      <c r="J94" s="3">
        <v>1434</v>
      </c>
      <c r="K94" s="3">
        <v>1595</v>
      </c>
      <c r="L94" s="3">
        <v>1476</v>
      </c>
    </row>
    <row r="95" spans="2:12" x14ac:dyDescent="0.25">
      <c r="B95" t="s">
        <v>94</v>
      </c>
      <c r="C95" s="3">
        <v>-1518</v>
      </c>
      <c r="D95" s="3">
        <v>-2961</v>
      </c>
      <c r="E95" s="3">
        <v>-4513</v>
      </c>
      <c r="F95" s="3">
        <v>-4559</v>
      </c>
      <c r="G95" s="3">
        <v>-4832</v>
      </c>
      <c r="H95" s="3">
        <v>-4162</v>
      </c>
      <c r="I95" s="3">
        <v>-3564</v>
      </c>
      <c r="J95" s="3">
        <v>-3681</v>
      </c>
      <c r="K95" s="3">
        <v>-3682</v>
      </c>
      <c r="L95" s="3">
        <v>-1912</v>
      </c>
    </row>
    <row r="96" spans="2:12" x14ac:dyDescent="0.25">
      <c r="B96" t="s">
        <v>95</v>
      </c>
      <c r="C96" s="3">
        <v>-3800</v>
      </c>
      <c r="D96" s="3">
        <v>-4068</v>
      </c>
      <c r="E96" s="3">
        <v>-4300</v>
      </c>
      <c r="F96" s="3">
        <v>-4595</v>
      </c>
      <c r="G96" s="3">
        <v>-4969</v>
      </c>
      <c r="H96" s="3">
        <v>-5350</v>
      </c>
      <c r="I96" s="3">
        <v>-5741</v>
      </c>
      <c r="J96" s="3">
        <v>-6043</v>
      </c>
      <c r="K96" s="3">
        <v>-6320</v>
      </c>
      <c r="L96" s="3">
        <v>-6644</v>
      </c>
    </row>
    <row r="97" spans="2:12" x14ac:dyDescent="0.25">
      <c r="B97" t="s">
        <v>96</v>
      </c>
      <c r="C97" s="3">
        <v>-2</v>
      </c>
      <c r="D97" s="3">
        <v>50</v>
      </c>
      <c r="E97" s="3">
        <v>45</v>
      </c>
      <c r="F97" s="3">
        <v>100</v>
      </c>
      <c r="G97" s="3">
        <v>17</v>
      </c>
      <c r="H97" s="3">
        <v>-363</v>
      </c>
      <c r="I97" s="3">
        <v>251</v>
      </c>
      <c r="J97" s="3">
        <v>79</v>
      </c>
      <c r="K97" s="3">
        <v>-91</v>
      </c>
      <c r="L97" s="3">
        <v>-243</v>
      </c>
    </row>
    <row r="98" spans="2:12" x14ac:dyDescent="0.25">
      <c r="B98" s="4" t="s">
        <v>97</v>
      </c>
      <c r="C98" s="5">
        <v>-2293</v>
      </c>
      <c r="D98" s="5">
        <v>-3465</v>
      </c>
      <c r="E98" s="5">
        <v>-2234</v>
      </c>
      <c r="F98" s="5">
        <v>-3347</v>
      </c>
      <c r="G98" s="5">
        <v>-3745</v>
      </c>
      <c r="H98" s="5">
        <v>-3631</v>
      </c>
      <c r="I98" s="5">
        <v>-5113</v>
      </c>
      <c r="J98" s="5">
        <v>-6545</v>
      </c>
      <c r="K98" s="5">
        <v>-7409</v>
      </c>
      <c r="L98" s="5">
        <v>-10552</v>
      </c>
    </row>
    <row r="99" spans="2:12" x14ac:dyDescent="0.25">
      <c r="B99" t="s">
        <v>98</v>
      </c>
      <c r="I99" s="3">
        <v>0</v>
      </c>
      <c r="J99" s="3">
        <v>0</v>
      </c>
      <c r="K99" s="3">
        <v>111</v>
      </c>
      <c r="L99" s="3">
        <v>307</v>
      </c>
    </row>
    <row r="100" spans="2:12" x14ac:dyDescent="0.25">
      <c r="B100" t="s">
        <v>99</v>
      </c>
      <c r="C100" s="3">
        <v>576</v>
      </c>
      <c r="D100" s="3">
        <v>-166</v>
      </c>
      <c r="E100" s="3">
        <v>-430</v>
      </c>
      <c r="F100" s="3">
        <v>-255</v>
      </c>
      <c r="G100" s="3">
        <v>-611</v>
      </c>
      <c r="H100" s="3">
        <v>-934</v>
      </c>
      <c r="I100" s="3">
        <v>-878</v>
      </c>
      <c r="J100" s="3">
        <v>-6</v>
      </c>
      <c r="K100" s="3">
        <v>241</v>
      </c>
      <c r="L100" s="3">
        <v>-262</v>
      </c>
    </row>
    <row r="101" spans="2:12" x14ac:dyDescent="0.25">
      <c r="B101" t="s">
        <v>100</v>
      </c>
      <c r="I101" s="3">
        <v>0</v>
      </c>
      <c r="J101" s="3">
        <v>0</v>
      </c>
      <c r="K101" s="3">
        <v>-58</v>
      </c>
      <c r="L101" s="3">
        <v>-421</v>
      </c>
    </row>
    <row r="102" spans="2:12" x14ac:dyDescent="0.25">
      <c r="B102" t="s">
        <v>101</v>
      </c>
      <c r="I102" s="3">
        <v>0</v>
      </c>
      <c r="J102" s="3">
        <v>0</v>
      </c>
      <c r="K102" s="3">
        <v>-38</v>
      </c>
      <c r="L102" s="3">
        <v>205</v>
      </c>
    </row>
    <row r="103" spans="2:12" x14ac:dyDescent="0.25">
      <c r="B103" t="s">
        <v>102</v>
      </c>
      <c r="I103" s="3">
        <v>0</v>
      </c>
      <c r="J103" s="3">
        <v>0</v>
      </c>
      <c r="K103" s="3">
        <v>15</v>
      </c>
      <c r="L103" s="3">
        <v>91</v>
      </c>
    </row>
    <row r="104" spans="2:12" x14ac:dyDescent="0.25">
      <c r="B104" s="4" t="s">
        <v>103</v>
      </c>
      <c r="C104" s="5">
        <v>2320</v>
      </c>
      <c r="D104" s="5">
        <v>1496</v>
      </c>
      <c r="E104" s="5">
        <v>4286</v>
      </c>
      <c r="F104" s="5">
        <v>-4361</v>
      </c>
      <c r="G104" s="5">
        <v>1972</v>
      </c>
      <c r="H104" s="5">
        <v>-1456</v>
      </c>
      <c r="I104" s="5">
        <v>-1649</v>
      </c>
      <c r="J104" s="5">
        <v>1246</v>
      </c>
      <c r="K104" s="5">
        <v>-2477</v>
      </c>
      <c r="L104" s="5">
        <v>2945</v>
      </c>
    </row>
  </sheetData>
  <sheetProtection formatCells="0" formatColumns="0" formatRows="0" insertColumns="0" insertRows="0" insertHyperlinks="0" deleteColumns="0" deleteRows="0" sort="0" autoFilter="0" pivotTables="0"/>
  <hyperlinks>
    <hyperlink ref="A1"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3E57C-BC34-4220-8098-F1ED22388308}">
  <dimension ref="A3:B964"/>
  <sheetViews>
    <sheetView topLeftCell="A16" workbookViewId="0">
      <selection activeCell="B30" sqref="B30"/>
    </sheetView>
  </sheetViews>
  <sheetFormatPr defaultRowHeight="15" x14ac:dyDescent="0.25"/>
  <cols>
    <col min="1" max="1" width="110" bestFit="1" customWidth="1"/>
    <col min="2" max="2" width="14.85546875" bestFit="1" customWidth="1"/>
  </cols>
  <sheetData>
    <row r="3" spans="1:2" x14ac:dyDescent="0.25">
      <c r="A3" s="6" t="s">
        <v>110</v>
      </c>
      <c r="B3" s="7" t="s">
        <v>112</v>
      </c>
    </row>
    <row r="4" spans="1:2" x14ac:dyDescent="0.25">
      <c r="A4" s="8">
        <v>2009</v>
      </c>
      <c r="B4" s="7">
        <v>399741</v>
      </c>
    </row>
    <row r="5" spans="1:2" x14ac:dyDescent="0.25">
      <c r="A5" s="11" t="s">
        <v>30</v>
      </c>
      <c r="B5" s="17">
        <v>285252</v>
      </c>
    </row>
    <row r="6" spans="1:2" x14ac:dyDescent="0.25">
      <c r="A6" s="19" t="s">
        <v>52</v>
      </c>
      <c r="B6" s="17">
        <v>6657</v>
      </c>
    </row>
    <row r="7" spans="1:2" x14ac:dyDescent="0.25">
      <c r="A7" s="19" t="s">
        <v>55</v>
      </c>
      <c r="B7" s="17">
        <v>264</v>
      </c>
    </row>
    <row r="8" spans="1:2" x14ac:dyDescent="0.25">
      <c r="A8" s="19" t="s">
        <v>65</v>
      </c>
      <c r="B8" s="17">
        <v>-757</v>
      </c>
    </row>
    <row r="9" spans="1:2" x14ac:dyDescent="0.25">
      <c r="A9" s="19" t="s">
        <v>39</v>
      </c>
      <c r="B9" s="17">
        <v>0</v>
      </c>
    </row>
    <row r="10" spans="1:2" x14ac:dyDescent="0.25">
      <c r="A10" s="19" t="s">
        <v>47</v>
      </c>
      <c r="B10" s="17">
        <v>1953</v>
      </c>
    </row>
    <row r="11" spans="1:2" x14ac:dyDescent="0.25">
      <c r="A11" s="19" t="s">
        <v>63</v>
      </c>
      <c r="B11" s="17">
        <v>8537</v>
      </c>
    </row>
    <row r="12" spans="1:2" x14ac:dyDescent="0.25">
      <c r="A12" s="19" t="s">
        <v>32</v>
      </c>
      <c r="B12" s="17">
        <v>7021</v>
      </c>
    </row>
    <row r="13" spans="1:2" x14ac:dyDescent="0.25">
      <c r="A13" s="19" t="s">
        <v>62</v>
      </c>
      <c r="B13" s="17">
        <v>880</v>
      </c>
    </row>
    <row r="14" spans="1:2" x14ac:dyDescent="0.25">
      <c r="A14" s="19" t="s">
        <v>54</v>
      </c>
      <c r="B14" s="17">
        <v>51</v>
      </c>
    </row>
    <row r="15" spans="1:2" x14ac:dyDescent="0.25">
      <c r="A15" s="19" t="s">
        <v>45</v>
      </c>
      <c r="B15" s="17">
        <v>0</v>
      </c>
    </row>
    <row r="16" spans="1:2" x14ac:dyDescent="0.25">
      <c r="A16" s="19" t="s">
        <v>61</v>
      </c>
      <c r="B16" s="17">
        <v>1580</v>
      </c>
    </row>
    <row r="17" spans="1:2" x14ac:dyDescent="0.25">
      <c r="A17" s="19" t="s">
        <v>68</v>
      </c>
      <c r="B17" s="17">
        <v>547</v>
      </c>
    </row>
    <row r="18" spans="1:2" x14ac:dyDescent="0.25">
      <c r="A18" s="19" t="s">
        <v>67</v>
      </c>
      <c r="B18" s="17">
        <v>24799</v>
      </c>
    </row>
    <row r="19" spans="1:2" x14ac:dyDescent="0.25">
      <c r="A19" s="19" t="s">
        <v>41</v>
      </c>
      <c r="B19" s="17">
        <v>6217</v>
      </c>
    </row>
    <row r="20" spans="1:2" x14ac:dyDescent="0.25">
      <c r="A20" s="19" t="s">
        <v>48</v>
      </c>
      <c r="B20" s="17">
        <v>4224</v>
      </c>
    </row>
    <row r="21" spans="1:2" x14ac:dyDescent="0.25">
      <c r="A21" s="19" t="s">
        <v>37</v>
      </c>
      <c r="B21" s="17">
        <v>2354</v>
      </c>
    </row>
    <row r="22" spans="1:2" x14ac:dyDescent="0.25">
      <c r="A22" s="19" t="s">
        <v>51</v>
      </c>
      <c r="B22" s="17">
        <v>0</v>
      </c>
    </row>
    <row r="23" spans="1:2" x14ac:dyDescent="0.25">
      <c r="A23" s="19" t="s">
        <v>56</v>
      </c>
      <c r="B23" s="17">
        <v>0</v>
      </c>
    </row>
    <row r="24" spans="1:2" x14ac:dyDescent="0.25">
      <c r="A24" s="19" t="s">
        <v>57</v>
      </c>
      <c r="B24" s="17">
        <v>0</v>
      </c>
    </row>
    <row r="25" spans="1:2" x14ac:dyDescent="0.25">
      <c r="A25" s="19" t="s">
        <v>53</v>
      </c>
      <c r="B25" s="17">
        <v>6749</v>
      </c>
    </row>
    <row r="26" spans="1:2" x14ac:dyDescent="0.25">
      <c r="A26" s="19" t="s">
        <v>59</v>
      </c>
      <c r="B26" s="17">
        <v>5059</v>
      </c>
    </row>
    <row r="27" spans="1:2" x14ac:dyDescent="0.25">
      <c r="A27" s="19" t="s">
        <v>35</v>
      </c>
      <c r="B27" s="17">
        <v>62</v>
      </c>
    </row>
    <row r="28" spans="1:2" x14ac:dyDescent="0.25">
      <c r="A28" s="19" t="s">
        <v>43</v>
      </c>
      <c r="B28" s="17">
        <v>1976</v>
      </c>
    </row>
    <row r="29" spans="1:2" x14ac:dyDescent="0.25">
      <c r="A29" s="19" t="s">
        <v>49</v>
      </c>
      <c r="B29" s="17">
        <v>468</v>
      </c>
    </row>
    <row r="30" spans="1:2" x14ac:dyDescent="0.25">
      <c r="A30" s="19" t="s">
        <v>42</v>
      </c>
      <c r="B30" s="17">
        <v>538</v>
      </c>
    </row>
    <row r="31" spans="1:2" x14ac:dyDescent="0.25">
      <c r="A31" s="19" t="s">
        <v>60</v>
      </c>
      <c r="B31" s="17">
        <v>2965</v>
      </c>
    </row>
    <row r="32" spans="1:2" x14ac:dyDescent="0.25">
      <c r="A32" s="19" t="s">
        <v>38</v>
      </c>
      <c r="B32" s="17">
        <v>2226</v>
      </c>
    </row>
    <row r="33" spans="1:2" x14ac:dyDescent="0.25">
      <c r="A33" s="19" t="s">
        <v>44</v>
      </c>
      <c r="B33" s="17">
        <v>9561</v>
      </c>
    </row>
    <row r="34" spans="1:2" x14ac:dyDescent="0.25">
      <c r="A34" s="19" t="s">
        <v>64</v>
      </c>
      <c r="B34" s="17">
        <v>41537</v>
      </c>
    </row>
    <row r="35" spans="1:2" x14ac:dyDescent="0.25">
      <c r="A35" s="19" t="s">
        <v>33</v>
      </c>
      <c r="B35" s="17">
        <v>2130</v>
      </c>
    </row>
    <row r="36" spans="1:2" x14ac:dyDescent="0.25">
      <c r="A36" s="19" t="s">
        <v>50</v>
      </c>
      <c r="B36" s="17">
        <v>48671</v>
      </c>
    </row>
    <row r="37" spans="1:2" x14ac:dyDescent="0.25">
      <c r="A37" s="19" t="s">
        <v>34</v>
      </c>
      <c r="B37" s="17">
        <v>9151</v>
      </c>
    </row>
    <row r="38" spans="1:2" x14ac:dyDescent="0.25">
      <c r="A38" s="19" t="s">
        <v>40</v>
      </c>
      <c r="B38" s="17">
        <v>17551</v>
      </c>
    </row>
    <row r="39" spans="1:2" x14ac:dyDescent="0.25">
      <c r="A39" s="19" t="s">
        <v>58</v>
      </c>
      <c r="B39" s="17">
        <v>13721</v>
      </c>
    </row>
    <row r="40" spans="1:2" x14ac:dyDescent="0.25">
      <c r="A40" s="19" t="s">
        <v>69</v>
      </c>
      <c r="B40" s="17">
        <v>25346</v>
      </c>
    </row>
    <row r="41" spans="1:2" x14ac:dyDescent="0.25">
      <c r="A41" s="19" t="s">
        <v>70</v>
      </c>
      <c r="B41" s="17">
        <v>48671</v>
      </c>
    </row>
    <row r="42" spans="1:2" x14ac:dyDescent="0.25">
      <c r="A42" s="19" t="s">
        <v>36</v>
      </c>
      <c r="B42" s="17">
        <v>3758</v>
      </c>
    </row>
    <row r="43" spans="1:2" x14ac:dyDescent="0.25">
      <c r="A43" s="19" t="s">
        <v>46</v>
      </c>
      <c r="B43" s="17">
        <v>6183</v>
      </c>
    </row>
    <row r="44" spans="1:2" x14ac:dyDescent="0.25">
      <c r="A44" s="19" t="s">
        <v>66</v>
      </c>
      <c r="B44" s="17">
        <v>-25398</v>
      </c>
    </row>
    <row r="45" spans="1:2" x14ac:dyDescent="0.25">
      <c r="A45" s="11" t="s">
        <v>114</v>
      </c>
      <c r="B45" s="17">
        <v>6384</v>
      </c>
    </row>
    <row r="46" spans="1:2" x14ac:dyDescent="0.25">
      <c r="A46" s="19" t="s">
        <v>73</v>
      </c>
      <c r="B46" s="17">
        <v>0</v>
      </c>
    </row>
    <row r="47" spans="1:2" x14ac:dyDescent="0.25">
      <c r="A47" s="19" t="s">
        <v>85</v>
      </c>
      <c r="B47" s="17">
        <v>-300</v>
      </c>
    </row>
    <row r="48" spans="1:2" x14ac:dyDescent="0.25">
      <c r="A48" s="19" t="s">
        <v>101</v>
      </c>
      <c r="B48" s="17">
        <v>0</v>
      </c>
    </row>
    <row r="49" spans="1:2" x14ac:dyDescent="0.25">
      <c r="A49" s="19" t="s">
        <v>100</v>
      </c>
      <c r="B49" s="17">
        <v>0</v>
      </c>
    </row>
    <row r="50" spans="1:2" x14ac:dyDescent="0.25">
      <c r="A50" s="19" t="s">
        <v>98</v>
      </c>
      <c r="B50" s="17">
        <v>0</v>
      </c>
    </row>
    <row r="51" spans="1:2" x14ac:dyDescent="0.25">
      <c r="A51" s="19" t="s">
        <v>25</v>
      </c>
      <c r="B51" s="17">
        <v>6906</v>
      </c>
    </row>
    <row r="52" spans="1:2" x14ac:dyDescent="0.25">
      <c r="A52" s="19" t="s">
        <v>61</v>
      </c>
      <c r="B52" s="17">
        <v>353</v>
      </c>
    </row>
    <row r="53" spans="1:2" x14ac:dyDescent="0.25">
      <c r="A53" s="19" t="s">
        <v>72</v>
      </c>
      <c r="B53" s="17">
        <v>1236</v>
      </c>
    </row>
    <row r="54" spans="1:2" x14ac:dyDescent="0.25">
      <c r="A54" s="19" t="s">
        <v>95</v>
      </c>
      <c r="B54" s="17">
        <v>-3800</v>
      </c>
    </row>
    <row r="55" spans="1:2" x14ac:dyDescent="0.25">
      <c r="A55" s="19" t="s">
        <v>99</v>
      </c>
      <c r="B55" s="17">
        <v>576</v>
      </c>
    </row>
    <row r="56" spans="1:2" x14ac:dyDescent="0.25">
      <c r="A56" s="19" t="s">
        <v>75</v>
      </c>
      <c r="B56" s="17">
        <v>-359</v>
      </c>
    </row>
    <row r="57" spans="1:2" x14ac:dyDescent="0.25">
      <c r="A57" s="19" t="s">
        <v>76</v>
      </c>
      <c r="B57" s="17">
        <v>61</v>
      </c>
    </row>
    <row r="58" spans="1:2" x14ac:dyDescent="0.25">
      <c r="A58" s="19" t="s">
        <v>91</v>
      </c>
      <c r="B58" s="17">
        <v>14689</v>
      </c>
    </row>
    <row r="59" spans="1:2" x14ac:dyDescent="0.25">
      <c r="A59" s="19" t="s">
        <v>93</v>
      </c>
      <c r="B59" s="17">
        <v>664</v>
      </c>
    </row>
    <row r="60" spans="1:2" x14ac:dyDescent="0.25">
      <c r="A60" s="19" t="s">
        <v>102</v>
      </c>
      <c r="B60" s="17">
        <v>0</v>
      </c>
    </row>
    <row r="61" spans="1:2" x14ac:dyDescent="0.25">
      <c r="A61" s="19" t="s">
        <v>97</v>
      </c>
      <c r="B61" s="17">
        <v>-2293</v>
      </c>
    </row>
    <row r="62" spans="1:2" x14ac:dyDescent="0.25">
      <c r="A62" s="19" t="s">
        <v>90</v>
      </c>
      <c r="B62" s="17">
        <v>-4149</v>
      </c>
    </row>
    <row r="63" spans="1:2" x14ac:dyDescent="0.25">
      <c r="A63" s="19" t="s">
        <v>81</v>
      </c>
      <c r="B63" s="17">
        <v>8186</v>
      </c>
    </row>
    <row r="64" spans="1:2" x14ac:dyDescent="0.25">
      <c r="A64" s="19" t="s">
        <v>80</v>
      </c>
      <c r="B64" s="17">
        <v>-564</v>
      </c>
    </row>
    <row r="65" spans="1:2" x14ac:dyDescent="0.25">
      <c r="A65" s="19" t="s">
        <v>27</v>
      </c>
      <c r="B65" s="17">
        <v>0</v>
      </c>
    </row>
    <row r="66" spans="1:2" x14ac:dyDescent="0.25">
      <c r="A66" s="19" t="s">
        <v>103</v>
      </c>
      <c r="B66" s="17">
        <v>2320</v>
      </c>
    </row>
    <row r="67" spans="1:2" x14ac:dyDescent="0.25">
      <c r="A67" s="19" t="s">
        <v>96</v>
      </c>
      <c r="B67" s="17">
        <v>-2</v>
      </c>
    </row>
    <row r="68" spans="1:2" x14ac:dyDescent="0.25">
      <c r="A68" s="19" t="s">
        <v>89</v>
      </c>
      <c r="B68" s="17">
        <v>-48</v>
      </c>
    </row>
    <row r="69" spans="1:2" x14ac:dyDescent="0.25">
      <c r="A69" s="19" t="s">
        <v>79</v>
      </c>
      <c r="B69" s="17">
        <v>221</v>
      </c>
    </row>
    <row r="70" spans="1:2" x14ac:dyDescent="0.25">
      <c r="A70" s="19" t="s">
        <v>17</v>
      </c>
      <c r="B70" s="17">
        <v>134</v>
      </c>
    </row>
    <row r="71" spans="1:2" x14ac:dyDescent="0.25">
      <c r="A71" s="19" t="s">
        <v>78</v>
      </c>
      <c r="B71" s="17">
        <v>0</v>
      </c>
    </row>
    <row r="72" spans="1:2" x14ac:dyDescent="0.25">
      <c r="A72" s="19" t="s">
        <v>92</v>
      </c>
      <c r="B72" s="17">
        <v>-12326</v>
      </c>
    </row>
    <row r="73" spans="1:2" x14ac:dyDescent="0.25">
      <c r="A73" s="19" t="s">
        <v>86</v>
      </c>
      <c r="B73" s="17">
        <v>240</v>
      </c>
    </row>
    <row r="74" spans="1:2" x14ac:dyDescent="0.25">
      <c r="A74" s="19" t="s">
        <v>84</v>
      </c>
      <c r="B74" s="17">
        <v>0</v>
      </c>
    </row>
    <row r="75" spans="1:2" x14ac:dyDescent="0.25">
      <c r="A75" s="19" t="s">
        <v>88</v>
      </c>
      <c r="B75" s="17">
        <v>104</v>
      </c>
    </row>
    <row r="76" spans="1:2" x14ac:dyDescent="0.25">
      <c r="A76" s="19" t="s">
        <v>83</v>
      </c>
      <c r="B76" s="17">
        <v>-22</v>
      </c>
    </row>
    <row r="77" spans="1:2" x14ac:dyDescent="0.25">
      <c r="A77" s="19" t="s">
        <v>87</v>
      </c>
      <c r="B77" s="17">
        <v>-1993</v>
      </c>
    </row>
    <row r="78" spans="1:2" x14ac:dyDescent="0.25">
      <c r="A78" s="19" t="s">
        <v>82</v>
      </c>
      <c r="B78" s="17">
        <v>-2130</v>
      </c>
    </row>
    <row r="79" spans="1:2" x14ac:dyDescent="0.25">
      <c r="A79" s="19" t="s">
        <v>94</v>
      </c>
      <c r="B79" s="17">
        <v>-1518</v>
      </c>
    </row>
    <row r="80" spans="1:2" x14ac:dyDescent="0.25">
      <c r="A80" s="19" t="s">
        <v>77</v>
      </c>
      <c r="B80" s="17">
        <v>-43</v>
      </c>
    </row>
    <row r="81" spans="1:2" x14ac:dyDescent="0.25">
      <c r="A81" s="19" t="s">
        <v>74</v>
      </c>
      <c r="B81" s="17">
        <v>241</v>
      </c>
    </row>
    <row r="82" spans="1:2" x14ac:dyDescent="0.25">
      <c r="A82" s="11" t="s">
        <v>109</v>
      </c>
      <c r="B82" s="17">
        <v>108105</v>
      </c>
    </row>
    <row r="83" spans="1:2" x14ac:dyDescent="0.25">
      <c r="A83" s="19" t="s">
        <v>25</v>
      </c>
      <c r="B83" s="17">
        <v>6906</v>
      </c>
    </row>
    <row r="84" spans="1:2" x14ac:dyDescent="0.25">
      <c r="A84" s="19" t="s">
        <v>14</v>
      </c>
      <c r="B84" s="17">
        <v>11088</v>
      </c>
    </row>
    <row r="85" spans="1:2" x14ac:dyDescent="0.25">
      <c r="A85" s="19" t="s">
        <v>21</v>
      </c>
      <c r="B85" s="17">
        <v>781</v>
      </c>
    </row>
    <row r="86" spans="1:2" x14ac:dyDescent="0.25">
      <c r="A86" s="19" t="s">
        <v>15</v>
      </c>
      <c r="B86" s="17">
        <v>19902</v>
      </c>
    </row>
    <row r="87" spans="1:2" x14ac:dyDescent="0.25">
      <c r="A87" s="19" t="s">
        <v>28</v>
      </c>
      <c r="B87" s="17">
        <v>0</v>
      </c>
    </row>
    <row r="88" spans="1:2" x14ac:dyDescent="0.25">
      <c r="A88" s="19" t="s">
        <v>23</v>
      </c>
      <c r="B88" s="17">
        <v>8946</v>
      </c>
    </row>
    <row r="89" spans="1:2" x14ac:dyDescent="0.25">
      <c r="A89" s="19" t="s">
        <v>24</v>
      </c>
      <c r="B89" s="17">
        <v>2040</v>
      </c>
    </row>
    <row r="90" spans="1:2" x14ac:dyDescent="0.25">
      <c r="A90" s="19" t="s">
        <v>20</v>
      </c>
      <c r="B90" s="17">
        <v>355</v>
      </c>
    </row>
    <row r="91" spans="1:2" x14ac:dyDescent="0.25">
      <c r="A91" s="19" t="s">
        <v>19</v>
      </c>
      <c r="B91" s="17">
        <v>249</v>
      </c>
    </row>
    <row r="92" spans="1:2" x14ac:dyDescent="0.25">
      <c r="A92" s="19" t="s">
        <v>26</v>
      </c>
      <c r="B92" s="17">
        <v>82</v>
      </c>
    </row>
    <row r="93" spans="1:2" x14ac:dyDescent="0.25">
      <c r="A93" s="19" t="s">
        <v>29</v>
      </c>
      <c r="B93" s="17">
        <v>6824</v>
      </c>
    </row>
    <row r="94" spans="1:2" x14ac:dyDescent="0.25">
      <c r="A94" s="19" t="s">
        <v>27</v>
      </c>
      <c r="B94" s="17">
        <v>0</v>
      </c>
    </row>
    <row r="95" spans="1:2" x14ac:dyDescent="0.25">
      <c r="A95" s="19" t="s">
        <v>13</v>
      </c>
      <c r="B95" s="17">
        <v>30990</v>
      </c>
    </row>
    <row r="96" spans="1:2" x14ac:dyDescent="0.25">
      <c r="A96" s="19" t="s">
        <v>18</v>
      </c>
      <c r="B96" s="17">
        <v>8231</v>
      </c>
    </row>
    <row r="97" spans="1:2" x14ac:dyDescent="0.25">
      <c r="A97" s="19" t="s">
        <v>22</v>
      </c>
      <c r="B97" s="17">
        <v>40</v>
      </c>
    </row>
    <row r="98" spans="1:2" x14ac:dyDescent="0.25">
      <c r="A98" s="19" t="s">
        <v>17</v>
      </c>
      <c r="B98" s="17">
        <v>313</v>
      </c>
    </row>
    <row r="99" spans="1:2" x14ac:dyDescent="0.25">
      <c r="A99" s="19" t="s">
        <v>16</v>
      </c>
      <c r="B99" s="17">
        <v>11358</v>
      </c>
    </row>
    <row r="100" spans="1:2" x14ac:dyDescent="0.25">
      <c r="A100" s="9">
        <v>2010</v>
      </c>
      <c r="B100" s="17">
        <v>550119</v>
      </c>
    </row>
    <row r="101" spans="1:2" x14ac:dyDescent="0.25">
      <c r="A101" s="11" t="s">
        <v>30</v>
      </c>
      <c r="B101" s="17">
        <v>405290</v>
      </c>
    </row>
    <row r="102" spans="1:2" x14ac:dyDescent="0.25">
      <c r="A102" s="19" t="s">
        <v>52</v>
      </c>
      <c r="B102" s="17">
        <v>8859</v>
      </c>
    </row>
    <row r="103" spans="1:2" x14ac:dyDescent="0.25">
      <c r="A103" s="19" t="s">
        <v>55</v>
      </c>
      <c r="B103" s="17">
        <v>273</v>
      </c>
    </row>
    <row r="104" spans="1:2" x14ac:dyDescent="0.25">
      <c r="A104" s="19" t="s">
        <v>65</v>
      </c>
      <c r="B104" s="17">
        <v>-1450</v>
      </c>
    </row>
    <row r="105" spans="1:2" x14ac:dyDescent="0.25">
      <c r="A105" s="19" t="s">
        <v>39</v>
      </c>
      <c r="B105" s="17">
        <v>0</v>
      </c>
    </row>
    <row r="106" spans="1:2" x14ac:dyDescent="0.25">
      <c r="A106" s="19" t="s">
        <v>47</v>
      </c>
      <c r="B106" s="17">
        <v>7511</v>
      </c>
    </row>
    <row r="107" spans="1:2" x14ac:dyDescent="0.25">
      <c r="A107" s="19" t="s">
        <v>63</v>
      </c>
      <c r="B107" s="17">
        <v>10057</v>
      </c>
    </row>
    <row r="108" spans="1:2" x14ac:dyDescent="0.25">
      <c r="A108" s="19" t="s">
        <v>32</v>
      </c>
      <c r="B108" s="17">
        <v>8517</v>
      </c>
    </row>
    <row r="109" spans="1:2" x14ac:dyDescent="0.25">
      <c r="A109" s="19" t="s">
        <v>62</v>
      </c>
      <c r="B109" s="17">
        <v>880</v>
      </c>
    </row>
    <row r="110" spans="1:2" x14ac:dyDescent="0.25">
      <c r="A110" s="19" t="s">
        <v>54</v>
      </c>
      <c r="B110" s="17">
        <v>1276</v>
      </c>
    </row>
    <row r="111" spans="1:2" x14ac:dyDescent="0.25">
      <c r="A111" s="19" t="s">
        <v>45</v>
      </c>
      <c r="B111" s="17">
        <v>0</v>
      </c>
    </row>
    <row r="112" spans="1:2" x14ac:dyDescent="0.25">
      <c r="A112" s="19" t="s">
        <v>61</v>
      </c>
      <c r="B112" s="17">
        <v>4261</v>
      </c>
    </row>
    <row r="113" spans="1:2" x14ac:dyDescent="0.25">
      <c r="A113" s="19" t="s">
        <v>68</v>
      </c>
      <c r="B113" s="17">
        <v>314</v>
      </c>
    </row>
    <row r="114" spans="1:2" x14ac:dyDescent="0.25">
      <c r="A114" s="19" t="s">
        <v>67</v>
      </c>
      <c r="B114" s="17">
        <v>31003</v>
      </c>
    </row>
    <row r="115" spans="1:2" x14ac:dyDescent="0.25">
      <c r="A115" s="19" t="s">
        <v>41</v>
      </c>
      <c r="B115" s="17">
        <v>6954</v>
      </c>
    </row>
    <row r="116" spans="1:2" x14ac:dyDescent="0.25">
      <c r="A116" s="19" t="s">
        <v>48</v>
      </c>
      <c r="B116" s="17">
        <v>11665</v>
      </c>
    </row>
    <row r="117" spans="1:2" x14ac:dyDescent="0.25">
      <c r="A117" s="19" t="s">
        <v>37</v>
      </c>
      <c r="B117" s="17">
        <v>2650</v>
      </c>
    </row>
    <row r="118" spans="1:2" x14ac:dyDescent="0.25">
      <c r="A118" s="19" t="s">
        <v>51</v>
      </c>
      <c r="B118" s="17">
        <v>0</v>
      </c>
    </row>
    <row r="119" spans="1:2" x14ac:dyDescent="0.25">
      <c r="A119" s="19" t="s">
        <v>56</v>
      </c>
      <c r="B119" s="17">
        <v>0</v>
      </c>
    </row>
    <row r="120" spans="1:2" x14ac:dyDescent="0.25">
      <c r="A120" s="19" t="s">
        <v>57</v>
      </c>
      <c r="B120" s="17">
        <v>0</v>
      </c>
    </row>
    <row r="121" spans="1:2" x14ac:dyDescent="0.25">
      <c r="A121" s="19" t="s">
        <v>53</v>
      </c>
      <c r="B121" s="17">
        <v>8100</v>
      </c>
    </row>
    <row r="122" spans="1:2" x14ac:dyDescent="0.25">
      <c r="A122" s="19" t="s">
        <v>59</v>
      </c>
      <c r="B122" s="17">
        <v>14041</v>
      </c>
    </row>
    <row r="123" spans="1:2" x14ac:dyDescent="0.25">
      <c r="A123" s="19" t="s">
        <v>35</v>
      </c>
      <c r="B123" s="17">
        <v>138</v>
      </c>
    </row>
    <row r="124" spans="1:2" x14ac:dyDescent="0.25">
      <c r="A124" s="19" t="s">
        <v>43</v>
      </c>
      <c r="B124" s="17">
        <v>2121</v>
      </c>
    </row>
    <row r="125" spans="1:2" x14ac:dyDescent="0.25">
      <c r="A125" s="19" t="s">
        <v>49</v>
      </c>
      <c r="B125" s="17">
        <v>1377</v>
      </c>
    </row>
    <row r="126" spans="1:2" x14ac:dyDescent="0.25">
      <c r="A126" s="19" t="s">
        <v>42</v>
      </c>
      <c r="B126" s="17">
        <v>631</v>
      </c>
    </row>
    <row r="127" spans="1:2" x14ac:dyDescent="0.25">
      <c r="A127" s="19" t="s">
        <v>60</v>
      </c>
      <c r="B127" s="17">
        <v>4794</v>
      </c>
    </row>
    <row r="128" spans="1:2" x14ac:dyDescent="0.25">
      <c r="A128" s="19" t="s">
        <v>38</v>
      </c>
      <c r="B128" s="17">
        <v>3162</v>
      </c>
    </row>
    <row r="129" spans="1:2" x14ac:dyDescent="0.25">
      <c r="A129" s="19" t="s">
        <v>44</v>
      </c>
      <c r="B129" s="17">
        <v>14727</v>
      </c>
    </row>
    <row r="130" spans="1:2" x14ac:dyDescent="0.25">
      <c r="A130" s="19" t="s">
        <v>64</v>
      </c>
      <c r="B130" s="17">
        <v>49278</v>
      </c>
    </row>
    <row r="131" spans="1:2" x14ac:dyDescent="0.25">
      <c r="A131" s="19" t="s">
        <v>33</v>
      </c>
      <c r="B131" s="17">
        <v>2682</v>
      </c>
    </row>
    <row r="132" spans="1:2" x14ac:dyDescent="0.25">
      <c r="A132" s="19" t="s">
        <v>50</v>
      </c>
      <c r="B132" s="17">
        <v>72921</v>
      </c>
    </row>
    <row r="133" spans="1:2" x14ac:dyDescent="0.25">
      <c r="A133" s="19" t="s">
        <v>34</v>
      </c>
      <c r="B133" s="17">
        <v>11199</v>
      </c>
    </row>
    <row r="134" spans="1:2" x14ac:dyDescent="0.25">
      <c r="A134" s="19" t="s">
        <v>40</v>
      </c>
      <c r="B134" s="17">
        <v>21579</v>
      </c>
    </row>
    <row r="135" spans="1:2" x14ac:dyDescent="0.25">
      <c r="A135" s="19" t="s">
        <v>58</v>
      </c>
      <c r="B135" s="17">
        <v>18508</v>
      </c>
    </row>
    <row r="136" spans="1:2" x14ac:dyDescent="0.25">
      <c r="A136" s="19" t="s">
        <v>69</v>
      </c>
      <c r="B136" s="17">
        <v>31317</v>
      </c>
    </row>
    <row r="137" spans="1:2" x14ac:dyDescent="0.25">
      <c r="A137" s="19" t="s">
        <v>70</v>
      </c>
      <c r="B137" s="17">
        <v>72921</v>
      </c>
    </row>
    <row r="138" spans="1:2" x14ac:dyDescent="0.25">
      <c r="A138" s="19" t="s">
        <v>36</v>
      </c>
      <c r="B138" s="17">
        <v>4430</v>
      </c>
    </row>
    <row r="139" spans="1:2" x14ac:dyDescent="0.25">
      <c r="A139" s="19" t="s">
        <v>46</v>
      </c>
      <c r="B139" s="17">
        <v>6356</v>
      </c>
    </row>
    <row r="140" spans="1:2" x14ac:dyDescent="0.25">
      <c r="A140" s="19" t="s">
        <v>66</v>
      </c>
      <c r="B140" s="17">
        <v>-27762</v>
      </c>
    </row>
    <row r="141" spans="1:2" x14ac:dyDescent="0.25">
      <c r="A141" s="11" t="s">
        <v>114</v>
      </c>
      <c r="B141" s="17">
        <v>4654</v>
      </c>
    </row>
    <row r="142" spans="1:2" x14ac:dyDescent="0.25">
      <c r="A142" s="19" t="s">
        <v>73</v>
      </c>
      <c r="B142" s="17">
        <v>0</v>
      </c>
    </row>
    <row r="143" spans="1:2" x14ac:dyDescent="0.25">
      <c r="A143" s="19" t="s">
        <v>85</v>
      </c>
      <c r="B143" s="17">
        <v>-2511</v>
      </c>
    </row>
    <row r="144" spans="1:2" x14ac:dyDescent="0.25">
      <c r="A144" s="19" t="s">
        <v>101</v>
      </c>
      <c r="B144" s="17">
        <v>0</v>
      </c>
    </row>
    <row r="145" spans="1:2" x14ac:dyDescent="0.25">
      <c r="A145" s="19" t="s">
        <v>100</v>
      </c>
      <c r="B145" s="17">
        <v>0</v>
      </c>
    </row>
    <row r="146" spans="1:2" x14ac:dyDescent="0.25">
      <c r="A146" s="19" t="s">
        <v>98</v>
      </c>
      <c r="B146" s="17">
        <v>0</v>
      </c>
    </row>
    <row r="147" spans="1:2" x14ac:dyDescent="0.25">
      <c r="A147" s="19" t="s">
        <v>25</v>
      </c>
      <c r="B147" s="17">
        <v>11837</v>
      </c>
    </row>
    <row r="148" spans="1:2" x14ac:dyDescent="0.25">
      <c r="A148" s="19" t="s">
        <v>61</v>
      </c>
      <c r="B148" s="17">
        <v>604</v>
      </c>
    </row>
    <row r="149" spans="1:2" x14ac:dyDescent="0.25">
      <c r="A149" s="19" t="s">
        <v>72</v>
      </c>
      <c r="B149" s="17">
        <v>1443</v>
      </c>
    </row>
    <row r="150" spans="1:2" x14ac:dyDescent="0.25">
      <c r="A150" s="19" t="s">
        <v>95</v>
      </c>
      <c r="B150" s="17">
        <v>-4068</v>
      </c>
    </row>
    <row r="151" spans="1:2" x14ac:dyDescent="0.25">
      <c r="A151" s="19" t="s">
        <v>99</v>
      </c>
      <c r="B151" s="17">
        <v>-166</v>
      </c>
    </row>
    <row r="152" spans="1:2" x14ac:dyDescent="0.25">
      <c r="A152" s="19" t="s">
        <v>75</v>
      </c>
      <c r="B152" s="17">
        <v>-671</v>
      </c>
    </row>
    <row r="153" spans="1:2" x14ac:dyDescent="0.25">
      <c r="A153" s="19" t="s">
        <v>76</v>
      </c>
      <c r="B153" s="17">
        <v>151</v>
      </c>
    </row>
    <row r="154" spans="1:2" x14ac:dyDescent="0.25">
      <c r="A154" s="19" t="s">
        <v>91</v>
      </c>
      <c r="B154" s="17">
        <v>15251</v>
      </c>
    </row>
    <row r="155" spans="1:2" x14ac:dyDescent="0.25">
      <c r="A155" s="19" t="s">
        <v>93</v>
      </c>
      <c r="B155" s="17">
        <v>1666</v>
      </c>
    </row>
    <row r="156" spans="1:2" x14ac:dyDescent="0.25">
      <c r="A156" s="19" t="s">
        <v>102</v>
      </c>
      <c r="B156" s="17">
        <v>0</v>
      </c>
    </row>
    <row r="157" spans="1:2" x14ac:dyDescent="0.25">
      <c r="A157" s="19" t="s">
        <v>97</v>
      </c>
      <c r="B157" s="17">
        <v>-3465</v>
      </c>
    </row>
    <row r="158" spans="1:2" x14ac:dyDescent="0.25">
      <c r="A158" s="19" t="s">
        <v>90</v>
      </c>
      <c r="B158" s="17">
        <v>-4405</v>
      </c>
    </row>
    <row r="159" spans="1:2" x14ac:dyDescent="0.25">
      <c r="A159" s="19" t="s">
        <v>81</v>
      </c>
      <c r="B159" s="17">
        <v>9532</v>
      </c>
    </row>
    <row r="160" spans="1:2" x14ac:dyDescent="0.25">
      <c r="A160" s="19" t="s">
        <v>80</v>
      </c>
      <c r="B160" s="17">
        <v>370</v>
      </c>
    </row>
    <row r="161" spans="1:2" x14ac:dyDescent="0.25">
      <c r="A161" s="19" t="s">
        <v>27</v>
      </c>
      <c r="B161" s="17">
        <v>0</v>
      </c>
    </row>
    <row r="162" spans="1:2" x14ac:dyDescent="0.25">
      <c r="A162" s="19" t="s">
        <v>103</v>
      </c>
      <c r="B162" s="17">
        <v>1496</v>
      </c>
    </row>
    <row r="163" spans="1:2" x14ac:dyDescent="0.25">
      <c r="A163" s="19" t="s">
        <v>96</v>
      </c>
      <c r="B163" s="17">
        <v>50</v>
      </c>
    </row>
    <row r="164" spans="1:2" x14ac:dyDescent="0.25">
      <c r="A164" s="19" t="s">
        <v>89</v>
      </c>
      <c r="B164" s="17">
        <v>-106</v>
      </c>
    </row>
    <row r="165" spans="1:2" x14ac:dyDescent="0.25">
      <c r="A165" s="19" t="s">
        <v>79</v>
      </c>
      <c r="B165" s="17">
        <v>512</v>
      </c>
    </row>
    <row r="166" spans="1:2" x14ac:dyDescent="0.25">
      <c r="A166" s="19" t="s">
        <v>17</v>
      </c>
      <c r="B166" s="17">
        <v>264</v>
      </c>
    </row>
    <row r="167" spans="1:2" x14ac:dyDescent="0.25">
      <c r="A167" s="19" t="s">
        <v>78</v>
      </c>
      <c r="B167" s="17">
        <v>-4713</v>
      </c>
    </row>
    <row r="168" spans="1:2" x14ac:dyDescent="0.25">
      <c r="A168" s="19" t="s">
        <v>92</v>
      </c>
      <c r="B168" s="17">
        <v>-13403</v>
      </c>
    </row>
    <row r="169" spans="1:2" x14ac:dyDescent="0.25">
      <c r="A169" s="19" t="s">
        <v>86</v>
      </c>
      <c r="B169" s="17">
        <v>972</v>
      </c>
    </row>
    <row r="170" spans="1:2" x14ac:dyDescent="0.25">
      <c r="A170" s="19" t="s">
        <v>84</v>
      </c>
      <c r="B170" s="17">
        <v>4032</v>
      </c>
    </row>
    <row r="171" spans="1:2" x14ac:dyDescent="0.25">
      <c r="A171" s="19" t="s">
        <v>88</v>
      </c>
      <c r="B171" s="17">
        <v>134</v>
      </c>
    </row>
    <row r="172" spans="1:2" x14ac:dyDescent="0.25">
      <c r="A172" s="19" t="s">
        <v>83</v>
      </c>
      <c r="B172" s="17">
        <v>-132</v>
      </c>
    </row>
    <row r="173" spans="1:2" x14ac:dyDescent="0.25">
      <c r="A173" s="19" t="s">
        <v>87</v>
      </c>
      <c r="B173" s="17">
        <v>-2215</v>
      </c>
    </row>
    <row r="174" spans="1:2" x14ac:dyDescent="0.25">
      <c r="A174" s="19" t="s">
        <v>82</v>
      </c>
      <c r="B174" s="17">
        <v>-4579</v>
      </c>
    </row>
    <row r="175" spans="1:2" x14ac:dyDescent="0.25">
      <c r="A175" s="19" t="s">
        <v>94</v>
      </c>
      <c r="B175" s="17">
        <v>-2961</v>
      </c>
    </row>
    <row r="176" spans="1:2" x14ac:dyDescent="0.25">
      <c r="A176" s="19" t="s">
        <v>77</v>
      </c>
      <c r="B176" s="17">
        <v>-645</v>
      </c>
    </row>
    <row r="177" spans="1:2" x14ac:dyDescent="0.25">
      <c r="A177" s="19" t="s">
        <v>74</v>
      </c>
      <c r="B177" s="17">
        <v>380</v>
      </c>
    </row>
    <row r="178" spans="1:2" x14ac:dyDescent="0.25">
      <c r="A178" s="11" t="s">
        <v>109</v>
      </c>
      <c r="B178" s="17">
        <v>140175</v>
      </c>
    </row>
    <row r="179" spans="1:2" x14ac:dyDescent="0.25">
      <c r="A179" s="19" t="s">
        <v>25</v>
      </c>
      <c r="B179" s="17">
        <v>11837</v>
      </c>
    </row>
    <row r="180" spans="1:2" x14ac:dyDescent="0.25">
      <c r="A180" s="19" t="s">
        <v>14</v>
      </c>
      <c r="B180" s="17">
        <v>12693</v>
      </c>
    </row>
    <row r="181" spans="1:2" x14ac:dyDescent="0.25">
      <c r="A181" s="19" t="s">
        <v>21</v>
      </c>
      <c r="B181" s="17">
        <v>1025</v>
      </c>
    </row>
    <row r="182" spans="1:2" x14ac:dyDescent="0.25">
      <c r="A182" s="19" t="s">
        <v>15</v>
      </c>
      <c r="B182" s="17">
        <v>22426</v>
      </c>
    </row>
    <row r="183" spans="1:2" x14ac:dyDescent="0.25">
      <c r="A183" s="19" t="s">
        <v>28</v>
      </c>
      <c r="B183" s="17">
        <v>0</v>
      </c>
    </row>
    <row r="184" spans="1:2" x14ac:dyDescent="0.25">
      <c r="A184" s="19" t="s">
        <v>23</v>
      </c>
      <c r="B184" s="17">
        <v>14207</v>
      </c>
    </row>
    <row r="185" spans="1:2" x14ac:dyDescent="0.25">
      <c r="A185" s="19" t="s">
        <v>24</v>
      </c>
      <c r="B185" s="17">
        <v>2370</v>
      </c>
    </row>
    <row r="186" spans="1:2" x14ac:dyDescent="0.25">
      <c r="A186" s="19" t="s">
        <v>20</v>
      </c>
      <c r="B186" s="17">
        <v>733</v>
      </c>
    </row>
    <row r="187" spans="1:2" x14ac:dyDescent="0.25">
      <c r="A187" s="19" t="s">
        <v>19</v>
      </c>
      <c r="B187" s="17">
        <v>317</v>
      </c>
    </row>
    <row r="188" spans="1:2" x14ac:dyDescent="0.25">
      <c r="A188" s="19" t="s">
        <v>26</v>
      </c>
      <c r="B188" s="17">
        <v>50</v>
      </c>
    </row>
    <row r="189" spans="1:2" x14ac:dyDescent="0.25">
      <c r="A189" s="19" t="s">
        <v>29</v>
      </c>
      <c r="B189" s="17">
        <v>11787</v>
      </c>
    </row>
    <row r="190" spans="1:2" x14ac:dyDescent="0.25">
      <c r="A190" s="19" t="s">
        <v>27</v>
      </c>
      <c r="B190" s="17">
        <v>0</v>
      </c>
    </row>
    <row r="191" spans="1:2" x14ac:dyDescent="0.25">
      <c r="A191" s="19" t="s">
        <v>13</v>
      </c>
      <c r="B191" s="17">
        <v>35119</v>
      </c>
    </row>
    <row r="192" spans="1:2" x14ac:dyDescent="0.25">
      <c r="A192" s="19" t="s">
        <v>18</v>
      </c>
      <c r="B192" s="17">
        <v>8413</v>
      </c>
    </row>
    <row r="193" spans="1:2" x14ac:dyDescent="0.25">
      <c r="A193" s="19" t="s">
        <v>22</v>
      </c>
      <c r="B193" s="17">
        <v>5185</v>
      </c>
    </row>
    <row r="194" spans="1:2" x14ac:dyDescent="0.25">
      <c r="A194" s="19" t="s">
        <v>17</v>
      </c>
      <c r="B194" s="17">
        <v>819</v>
      </c>
    </row>
    <row r="195" spans="1:2" x14ac:dyDescent="0.25">
      <c r="A195" s="19" t="s">
        <v>16</v>
      </c>
      <c r="B195" s="17">
        <v>13194</v>
      </c>
    </row>
    <row r="196" spans="1:2" x14ac:dyDescent="0.25">
      <c r="A196" s="9">
        <v>2011</v>
      </c>
      <c r="B196" s="17">
        <v>615503</v>
      </c>
    </row>
    <row r="197" spans="1:2" x14ac:dyDescent="0.25">
      <c r="A197" s="11" t="s">
        <v>30</v>
      </c>
      <c r="B197" s="17">
        <v>447123</v>
      </c>
    </row>
    <row r="198" spans="1:2" x14ac:dyDescent="0.25">
      <c r="A198" s="19" t="s">
        <v>52</v>
      </c>
      <c r="B198" s="17">
        <v>9009</v>
      </c>
    </row>
    <row r="199" spans="1:2" x14ac:dyDescent="0.25">
      <c r="A199" s="19" t="s">
        <v>55</v>
      </c>
      <c r="B199" s="17">
        <v>362</v>
      </c>
    </row>
    <row r="200" spans="1:2" x14ac:dyDescent="0.25">
      <c r="A200" s="19" t="s">
        <v>65</v>
      </c>
      <c r="B200" s="17">
        <v>-2774</v>
      </c>
    </row>
    <row r="201" spans="1:2" x14ac:dyDescent="0.25">
      <c r="A201" s="19" t="s">
        <v>39</v>
      </c>
      <c r="B201" s="17">
        <v>0</v>
      </c>
    </row>
    <row r="202" spans="1:2" x14ac:dyDescent="0.25">
      <c r="A202" s="19" t="s">
        <v>47</v>
      </c>
      <c r="B202" s="17">
        <v>7770</v>
      </c>
    </row>
    <row r="203" spans="1:2" x14ac:dyDescent="0.25">
      <c r="A203" s="19" t="s">
        <v>63</v>
      </c>
      <c r="B203" s="17">
        <v>10332</v>
      </c>
    </row>
    <row r="204" spans="1:2" x14ac:dyDescent="0.25">
      <c r="A204" s="19" t="s">
        <v>32</v>
      </c>
      <c r="B204" s="17">
        <v>12803</v>
      </c>
    </row>
    <row r="205" spans="1:2" x14ac:dyDescent="0.25">
      <c r="A205" s="19" t="s">
        <v>62</v>
      </c>
      <c r="B205" s="17">
        <v>1760</v>
      </c>
    </row>
    <row r="206" spans="1:2" x14ac:dyDescent="0.25">
      <c r="A206" s="19" t="s">
        <v>54</v>
      </c>
      <c r="B206" s="17">
        <v>2041</v>
      </c>
    </row>
    <row r="207" spans="1:2" x14ac:dyDescent="0.25">
      <c r="A207" s="19" t="s">
        <v>45</v>
      </c>
      <c r="B207" s="17">
        <v>0</v>
      </c>
    </row>
    <row r="208" spans="1:2" x14ac:dyDescent="0.25">
      <c r="A208" s="19" t="s">
        <v>61</v>
      </c>
      <c r="B208" s="17">
        <v>4694</v>
      </c>
    </row>
    <row r="209" spans="1:2" x14ac:dyDescent="0.25">
      <c r="A209" s="19" t="s">
        <v>68</v>
      </c>
      <c r="B209" s="17">
        <v>286</v>
      </c>
    </row>
    <row r="210" spans="1:2" x14ac:dyDescent="0.25">
      <c r="A210" s="19" t="s">
        <v>67</v>
      </c>
      <c r="B210" s="17">
        <v>31635</v>
      </c>
    </row>
    <row r="211" spans="1:2" x14ac:dyDescent="0.25">
      <c r="A211" s="19" t="s">
        <v>41</v>
      </c>
      <c r="B211" s="17">
        <v>7233</v>
      </c>
    </row>
    <row r="212" spans="1:2" x14ac:dyDescent="0.25">
      <c r="A212" s="19" t="s">
        <v>48</v>
      </c>
      <c r="B212" s="17">
        <v>12219</v>
      </c>
    </row>
    <row r="213" spans="1:2" x14ac:dyDescent="0.25">
      <c r="A213" s="19" t="s">
        <v>37</v>
      </c>
      <c r="B213" s="17">
        <v>3092</v>
      </c>
    </row>
    <row r="214" spans="1:2" x14ac:dyDescent="0.25">
      <c r="A214" s="19" t="s">
        <v>51</v>
      </c>
      <c r="B214" s="17">
        <v>0</v>
      </c>
    </row>
    <row r="215" spans="1:2" x14ac:dyDescent="0.25">
      <c r="A215" s="19" t="s">
        <v>56</v>
      </c>
      <c r="B215" s="17">
        <v>0</v>
      </c>
    </row>
    <row r="216" spans="1:2" x14ac:dyDescent="0.25">
      <c r="A216" s="19" t="s">
        <v>57</v>
      </c>
      <c r="B216" s="17">
        <v>0</v>
      </c>
    </row>
    <row r="217" spans="1:2" x14ac:dyDescent="0.25">
      <c r="A217" s="19" t="s">
        <v>53</v>
      </c>
      <c r="B217" s="17">
        <v>12871</v>
      </c>
    </row>
    <row r="218" spans="1:2" x14ac:dyDescent="0.25">
      <c r="A218" s="19" t="s">
        <v>59</v>
      </c>
      <c r="B218" s="17">
        <v>13656</v>
      </c>
    </row>
    <row r="219" spans="1:2" x14ac:dyDescent="0.25">
      <c r="A219" s="19" t="s">
        <v>35</v>
      </c>
      <c r="B219" s="17">
        <v>144</v>
      </c>
    </row>
    <row r="220" spans="1:2" x14ac:dyDescent="0.25">
      <c r="A220" s="19" t="s">
        <v>43</v>
      </c>
      <c r="B220" s="17">
        <v>3495</v>
      </c>
    </row>
    <row r="221" spans="1:2" x14ac:dyDescent="0.25">
      <c r="A221" s="19" t="s">
        <v>49</v>
      </c>
      <c r="B221" s="17">
        <v>1250</v>
      </c>
    </row>
    <row r="222" spans="1:2" x14ac:dyDescent="0.25">
      <c r="A222" s="19" t="s">
        <v>42</v>
      </c>
      <c r="B222" s="17">
        <v>1141</v>
      </c>
    </row>
    <row r="223" spans="1:2" x14ac:dyDescent="0.25">
      <c r="A223" s="19" t="s">
        <v>60</v>
      </c>
      <c r="B223" s="17">
        <v>5420</v>
      </c>
    </row>
    <row r="224" spans="1:2" x14ac:dyDescent="0.25">
      <c r="A224" s="19" t="s">
        <v>38</v>
      </c>
      <c r="B224" s="17">
        <v>3450</v>
      </c>
    </row>
    <row r="225" spans="1:2" x14ac:dyDescent="0.25">
      <c r="A225" s="19" t="s">
        <v>44</v>
      </c>
      <c r="B225" s="17">
        <v>14939</v>
      </c>
    </row>
    <row r="226" spans="1:2" x14ac:dyDescent="0.25">
      <c r="A226" s="19" t="s">
        <v>64</v>
      </c>
      <c r="B226" s="17">
        <v>53621</v>
      </c>
    </row>
    <row r="227" spans="1:2" x14ac:dyDescent="0.25">
      <c r="A227" s="19" t="s">
        <v>33</v>
      </c>
      <c r="B227" s="17">
        <v>1088</v>
      </c>
    </row>
    <row r="228" spans="1:2" x14ac:dyDescent="0.25">
      <c r="A228" s="19" t="s">
        <v>50</v>
      </c>
      <c r="B228" s="17">
        <v>79974</v>
      </c>
    </row>
    <row r="229" spans="1:2" x14ac:dyDescent="0.25">
      <c r="A229" s="19" t="s">
        <v>34</v>
      </c>
      <c r="B229" s="17">
        <v>13891</v>
      </c>
    </row>
    <row r="230" spans="1:2" x14ac:dyDescent="0.25">
      <c r="A230" s="19" t="s">
        <v>40</v>
      </c>
      <c r="B230" s="17">
        <v>25497</v>
      </c>
    </row>
    <row r="231" spans="1:2" x14ac:dyDescent="0.25">
      <c r="A231" s="19" t="s">
        <v>58</v>
      </c>
      <c r="B231" s="17">
        <v>24283</v>
      </c>
    </row>
    <row r="232" spans="1:2" x14ac:dyDescent="0.25">
      <c r="A232" s="19" t="s">
        <v>69</v>
      </c>
      <c r="B232" s="17">
        <v>31921</v>
      </c>
    </row>
    <row r="233" spans="1:2" x14ac:dyDescent="0.25">
      <c r="A233" s="19" t="s">
        <v>70</v>
      </c>
      <c r="B233" s="17">
        <v>79974</v>
      </c>
    </row>
    <row r="234" spans="1:2" x14ac:dyDescent="0.25">
      <c r="A234" s="19" t="s">
        <v>36</v>
      </c>
      <c r="B234" s="17">
        <v>4920</v>
      </c>
    </row>
    <row r="235" spans="1:2" x14ac:dyDescent="0.25">
      <c r="A235" s="19" t="s">
        <v>46</v>
      </c>
      <c r="B235" s="17">
        <v>6430</v>
      </c>
    </row>
    <row r="236" spans="1:2" x14ac:dyDescent="0.25">
      <c r="A236" s="19" t="s">
        <v>66</v>
      </c>
      <c r="B236" s="17">
        <v>-31304</v>
      </c>
    </row>
    <row r="237" spans="1:2" x14ac:dyDescent="0.25">
      <c r="A237" s="11" t="s">
        <v>114</v>
      </c>
      <c r="B237" s="17">
        <v>13288</v>
      </c>
    </row>
    <row r="238" spans="1:2" x14ac:dyDescent="0.25">
      <c r="A238" s="19" t="s">
        <v>73</v>
      </c>
      <c r="B238" s="17">
        <v>0</v>
      </c>
    </row>
    <row r="239" spans="1:2" x14ac:dyDescent="0.25">
      <c r="A239" s="19" t="s">
        <v>85</v>
      </c>
      <c r="B239" s="17">
        <v>-971</v>
      </c>
    </row>
    <row r="240" spans="1:2" x14ac:dyDescent="0.25">
      <c r="A240" s="19" t="s">
        <v>101</v>
      </c>
      <c r="B240" s="17">
        <v>0</v>
      </c>
    </row>
    <row r="241" spans="1:2" x14ac:dyDescent="0.25">
      <c r="A241" s="19" t="s">
        <v>100</v>
      </c>
      <c r="B241" s="17">
        <v>0</v>
      </c>
    </row>
    <row r="242" spans="1:2" x14ac:dyDescent="0.25">
      <c r="A242" s="19" t="s">
        <v>98</v>
      </c>
      <c r="B242" s="17">
        <v>0</v>
      </c>
    </row>
    <row r="243" spans="1:2" x14ac:dyDescent="0.25">
      <c r="A243" s="19" t="s">
        <v>25</v>
      </c>
      <c r="B243" s="17">
        <v>8646</v>
      </c>
    </row>
    <row r="244" spans="1:2" x14ac:dyDescent="0.25">
      <c r="A244" s="19" t="s">
        <v>61</v>
      </c>
      <c r="B244" s="17">
        <v>1035</v>
      </c>
    </row>
    <row r="245" spans="1:2" x14ac:dyDescent="0.25">
      <c r="A245" s="19" t="s">
        <v>72</v>
      </c>
      <c r="B245" s="17">
        <v>1954</v>
      </c>
    </row>
    <row r="246" spans="1:2" x14ac:dyDescent="0.25">
      <c r="A246" s="19" t="s">
        <v>95</v>
      </c>
      <c r="B246" s="17">
        <v>-4300</v>
      </c>
    </row>
    <row r="247" spans="1:2" x14ac:dyDescent="0.25">
      <c r="A247" s="19" t="s">
        <v>99</v>
      </c>
      <c r="B247" s="17">
        <v>-430</v>
      </c>
    </row>
    <row r="248" spans="1:2" x14ac:dyDescent="0.25">
      <c r="A248" s="19" t="s">
        <v>75</v>
      </c>
      <c r="B248" s="17">
        <v>-269</v>
      </c>
    </row>
    <row r="249" spans="1:2" x14ac:dyDescent="0.25">
      <c r="A249" s="19" t="s">
        <v>76</v>
      </c>
      <c r="B249" s="17">
        <v>7</v>
      </c>
    </row>
    <row r="250" spans="1:2" x14ac:dyDescent="0.25">
      <c r="A250" s="19" t="s">
        <v>91</v>
      </c>
      <c r="B250" s="17">
        <v>27495</v>
      </c>
    </row>
    <row r="251" spans="1:2" x14ac:dyDescent="0.25">
      <c r="A251" s="19" t="s">
        <v>93</v>
      </c>
      <c r="B251" s="17">
        <v>1569</v>
      </c>
    </row>
    <row r="252" spans="1:2" x14ac:dyDescent="0.25">
      <c r="A252" s="19" t="s">
        <v>102</v>
      </c>
      <c r="B252" s="17">
        <v>0</v>
      </c>
    </row>
    <row r="253" spans="1:2" x14ac:dyDescent="0.25">
      <c r="A253" s="19" t="s">
        <v>97</v>
      </c>
      <c r="B253" s="17">
        <v>-2234</v>
      </c>
    </row>
    <row r="254" spans="1:2" x14ac:dyDescent="0.25">
      <c r="A254" s="19" t="s">
        <v>90</v>
      </c>
      <c r="B254" s="17">
        <v>-2524</v>
      </c>
    </row>
    <row r="255" spans="1:2" x14ac:dyDescent="0.25">
      <c r="A255" s="19" t="s">
        <v>81</v>
      </c>
      <c r="B255" s="17">
        <v>9474</v>
      </c>
    </row>
    <row r="256" spans="1:2" x14ac:dyDescent="0.25">
      <c r="A256" s="19" t="s">
        <v>80</v>
      </c>
      <c r="B256" s="17">
        <v>-1893</v>
      </c>
    </row>
    <row r="257" spans="1:2" x14ac:dyDescent="0.25">
      <c r="A257" s="19" t="s">
        <v>27</v>
      </c>
      <c r="B257" s="17">
        <v>0</v>
      </c>
    </row>
    <row r="258" spans="1:2" x14ac:dyDescent="0.25">
      <c r="A258" s="19" t="s">
        <v>103</v>
      </c>
      <c r="B258" s="17">
        <v>4286</v>
      </c>
    </row>
    <row r="259" spans="1:2" x14ac:dyDescent="0.25">
      <c r="A259" s="19" t="s">
        <v>96</v>
      </c>
      <c r="B259" s="17">
        <v>45</v>
      </c>
    </row>
    <row r="260" spans="1:2" x14ac:dyDescent="0.25">
      <c r="A260" s="19" t="s">
        <v>89</v>
      </c>
      <c r="B260" s="17">
        <v>-145</v>
      </c>
    </row>
    <row r="261" spans="1:2" x14ac:dyDescent="0.25">
      <c r="A261" s="19" t="s">
        <v>79</v>
      </c>
      <c r="B261" s="17">
        <v>-354</v>
      </c>
    </row>
    <row r="262" spans="1:2" x14ac:dyDescent="0.25">
      <c r="A262" s="19" t="s">
        <v>17</v>
      </c>
      <c r="B262" s="17">
        <v>214</v>
      </c>
    </row>
    <row r="263" spans="1:2" x14ac:dyDescent="0.25">
      <c r="A263" s="19" t="s">
        <v>78</v>
      </c>
      <c r="B263" s="17">
        <v>0</v>
      </c>
    </row>
    <row r="264" spans="1:2" x14ac:dyDescent="0.25">
      <c r="A264" s="19" t="s">
        <v>92</v>
      </c>
      <c r="B264" s="17">
        <v>-22530</v>
      </c>
    </row>
    <row r="265" spans="1:2" x14ac:dyDescent="0.25">
      <c r="A265" s="19" t="s">
        <v>86</v>
      </c>
      <c r="B265" s="17">
        <v>398</v>
      </c>
    </row>
    <row r="266" spans="1:2" x14ac:dyDescent="0.25">
      <c r="A266" s="19" t="s">
        <v>84</v>
      </c>
      <c r="B266" s="17">
        <v>5811</v>
      </c>
    </row>
    <row r="267" spans="1:2" x14ac:dyDescent="0.25">
      <c r="A267" s="19" t="s">
        <v>88</v>
      </c>
      <c r="B267" s="17">
        <v>101</v>
      </c>
    </row>
    <row r="268" spans="1:2" x14ac:dyDescent="0.25">
      <c r="A268" s="19" t="s">
        <v>83</v>
      </c>
      <c r="B268" s="17">
        <v>-4798</v>
      </c>
    </row>
    <row r="269" spans="1:2" x14ac:dyDescent="0.25">
      <c r="A269" s="19" t="s">
        <v>87</v>
      </c>
      <c r="B269" s="17">
        <v>-2920</v>
      </c>
    </row>
    <row r="270" spans="1:2" x14ac:dyDescent="0.25">
      <c r="A270" s="19" t="s">
        <v>82</v>
      </c>
      <c r="B270" s="17">
        <v>0</v>
      </c>
    </row>
    <row r="271" spans="1:2" x14ac:dyDescent="0.25">
      <c r="A271" s="19" t="s">
        <v>94</v>
      </c>
      <c r="B271" s="17">
        <v>-4513</v>
      </c>
    </row>
    <row r="272" spans="1:2" x14ac:dyDescent="0.25">
      <c r="A272" s="19" t="s">
        <v>77</v>
      </c>
      <c r="B272" s="17">
        <v>-220</v>
      </c>
    </row>
    <row r="273" spans="1:2" x14ac:dyDescent="0.25">
      <c r="A273" s="19" t="s">
        <v>74</v>
      </c>
      <c r="B273" s="17">
        <v>354</v>
      </c>
    </row>
    <row r="274" spans="1:2" x14ac:dyDescent="0.25">
      <c r="A274" s="11" t="s">
        <v>109</v>
      </c>
      <c r="B274" s="17">
        <v>155092</v>
      </c>
    </row>
    <row r="275" spans="1:2" x14ac:dyDescent="0.25">
      <c r="A275" s="19" t="s">
        <v>25</v>
      </c>
      <c r="B275" s="17">
        <v>8646</v>
      </c>
    </row>
    <row r="276" spans="1:2" x14ac:dyDescent="0.25">
      <c r="A276" s="19" t="s">
        <v>14</v>
      </c>
      <c r="B276" s="17">
        <v>18215</v>
      </c>
    </row>
    <row r="277" spans="1:2" x14ac:dyDescent="0.25">
      <c r="A277" s="19" t="s">
        <v>21</v>
      </c>
      <c r="B277" s="17">
        <v>690</v>
      </c>
    </row>
    <row r="278" spans="1:2" x14ac:dyDescent="0.25">
      <c r="A278" s="19" t="s">
        <v>15</v>
      </c>
      <c r="B278" s="17">
        <v>28327</v>
      </c>
    </row>
    <row r="279" spans="1:2" x14ac:dyDescent="0.25">
      <c r="A279" s="19" t="s">
        <v>28</v>
      </c>
      <c r="B279" s="17">
        <v>0</v>
      </c>
    </row>
    <row r="280" spans="1:2" x14ac:dyDescent="0.25">
      <c r="A280" s="19" t="s">
        <v>23</v>
      </c>
      <c r="B280" s="17">
        <v>11458</v>
      </c>
    </row>
    <row r="281" spans="1:2" x14ac:dyDescent="0.25">
      <c r="A281" s="19" t="s">
        <v>24</v>
      </c>
      <c r="B281" s="17">
        <v>2812</v>
      </c>
    </row>
    <row r="282" spans="1:2" x14ac:dyDescent="0.25">
      <c r="A282" s="19" t="s">
        <v>20</v>
      </c>
      <c r="B282" s="17">
        <v>417</v>
      </c>
    </row>
    <row r="283" spans="1:2" x14ac:dyDescent="0.25">
      <c r="A283" s="19" t="s">
        <v>19</v>
      </c>
      <c r="B283" s="17">
        <v>483</v>
      </c>
    </row>
    <row r="284" spans="1:2" x14ac:dyDescent="0.25">
      <c r="A284" s="19" t="s">
        <v>26</v>
      </c>
      <c r="B284" s="17">
        <v>62</v>
      </c>
    </row>
    <row r="285" spans="1:2" x14ac:dyDescent="0.25">
      <c r="A285" s="19" t="s">
        <v>29</v>
      </c>
      <c r="B285" s="17">
        <v>8584</v>
      </c>
    </row>
    <row r="286" spans="1:2" x14ac:dyDescent="0.25">
      <c r="A286" s="19" t="s">
        <v>27</v>
      </c>
      <c r="B286" s="17">
        <v>0</v>
      </c>
    </row>
    <row r="287" spans="1:2" x14ac:dyDescent="0.25">
      <c r="A287" s="19" t="s">
        <v>13</v>
      </c>
      <c r="B287" s="17">
        <v>46542</v>
      </c>
    </row>
    <row r="288" spans="1:2" x14ac:dyDescent="0.25">
      <c r="A288" s="19" t="s">
        <v>18</v>
      </c>
      <c r="B288" s="17">
        <v>10173</v>
      </c>
    </row>
    <row r="289" spans="1:2" x14ac:dyDescent="0.25">
      <c r="A289" s="19" t="s">
        <v>22</v>
      </c>
      <c r="B289" s="17">
        <v>529</v>
      </c>
    </row>
    <row r="290" spans="1:2" x14ac:dyDescent="0.25">
      <c r="A290" s="19" t="s">
        <v>17</v>
      </c>
      <c r="B290" s="17">
        <v>732</v>
      </c>
    </row>
    <row r="291" spans="1:2" x14ac:dyDescent="0.25">
      <c r="A291" s="19" t="s">
        <v>16</v>
      </c>
      <c r="B291" s="17">
        <v>17422</v>
      </c>
    </row>
    <row r="292" spans="1:2" x14ac:dyDescent="0.25">
      <c r="A292" s="9">
        <v>2012</v>
      </c>
      <c r="B292" s="17">
        <v>628960</v>
      </c>
    </row>
    <row r="293" spans="1:2" x14ac:dyDescent="0.25">
      <c r="A293" s="11" t="s">
        <v>30</v>
      </c>
      <c r="B293" s="17">
        <v>482262</v>
      </c>
    </row>
    <row r="294" spans="1:2" x14ac:dyDescent="0.25">
      <c r="A294" s="19" t="s">
        <v>52</v>
      </c>
      <c r="B294" s="17">
        <v>8680</v>
      </c>
    </row>
    <row r="295" spans="1:2" x14ac:dyDescent="0.25">
      <c r="A295" s="19" t="s">
        <v>55</v>
      </c>
      <c r="B295" s="17">
        <v>471</v>
      </c>
    </row>
    <row r="296" spans="1:2" x14ac:dyDescent="0.25">
      <c r="A296" s="19" t="s">
        <v>65</v>
      </c>
      <c r="B296" s="17">
        <v>-3385</v>
      </c>
    </row>
    <row r="297" spans="1:2" x14ac:dyDescent="0.25">
      <c r="A297" s="19" t="s">
        <v>39</v>
      </c>
      <c r="B297" s="17">
        <v>2973</v>
      </c>
    </row>
    <row r="298" spans="1:2" x14ac:dyDescent="0.25">
      <c r="A298" s="19" t="s">
        <v>47</v>
      </c>
      <c r="B298" s="17">
        <v>7405</v>
      </c>
    </row>
    <row r="299" spans="1:2" x14ac:dyDescent="0.25">
      <c r="A299" s="19" t="s">
        <v>63</v>
      </c>
      <c r="B299" s="17">
        <v>11379</v>
      </c>
    </row>
    <row r="300" spans="1:2" x14ac:dyDescent="0.25">
      <c r="A300" s="19" t="s">
        <v>32</v>
      </c>
      <c r="B300" s="17">
        <v>8442</v>
      </c>
    </row>
    <row r="301" spans="1:2" x14ac:dyDescent="0.25">
      <c r="A301" s="19" t="s">
        <v>62</v>
      </c>
      <c r="B301" s="17">
        <v>1760</v>
      </c>
    </row>
    <row r="302" spans="1:2" x14ac:dyDescent="0.25">
      <c r="A302" s="19" t="s">
        <v>54</v>
      </c>
      <c r="B302" s="17">
        <v>1577</v>
      </c>
    </row>
    <row r="303" spans="1:2" x14ac:dyDescent="0.25">
      <c r="A303" s="19" t="s">
        <v>45</v>
      </c>
      <c r="B303" s="17">
        <v>0</v>
      </c>
    </row>
    <row r="304" spans="1:2" x14ac:dyDescent="0.25">
      <c r="A304" s="19" t="s">
        <v>61</v>
      </c>
      <c r="B304" s="17">
        <v>4981</v>
      </c>
    </row>
    <row r="305" spans="1:2" x14ac:dyDescent="0.25">
      <c r="A305" s="19" t="s">
        <v>68</v>
      </c>
      <c r="B305" s="17">
        <v>378</v>
      </c>
    </row>
    <row r="306" spans="1:2" x14ac:dyDescent="0.25">
      <c r="A306" s="19" t="s">
        <v>67</v>
      </c>
      <c r="B306" s="17">
        <v>32790</v>
      </c>
    </row>
    <row r="307" spans="1:2" x14ac:dyDescent="0.25">
      <c r="A307" s="19" t="s">
        <v>41</v>
      </c>
      <c r="B307" s="17">
        <v>9216</v>
      </c>
    </row>
    <row r="308" spans="1:2" x14ac:dyDescent="0.25">
      <c r="A308" s="19" t="s">
        <v>48</v>
      </c>
      <c r="B308" s="17">
        <v>12255</v>
      </c>
    </row>
    <row r="309" spans="1:2" x14ac:dyDescent="0.25">
      <c r="A309" s="19" t="s">
        <v>37</v>
      </c>
      <c r="B309" s="17">
        <v>3264</v>
      </c>
    </row>
    <row r="310" spans="1:2" x14ac:dyDescent="0.25">
      <c r="A310" s="19" t="s">
        <v>51</v>
      </c>
      <c r="B310" s="17">
        <v>0</v>
      </c>
    </row>
    <row r="311" spans="1:2" x14ac:dyDescent="0.25">
      <c r="A311" s="19" t="s">
        <v>56</v>
      </c>
      <c r="B311" s="17">
        <v>796</v>
      </c>
    </row>
    <row r="312" spans="1:2" x14ac:dyDescent="0.25">
      <c r="A312" s="19" t="s">
        <v>57</v>
      </c>
      <c r="B312" s="17">
        <v>0</v>
      </c>
    </row>
    <row r="313" spans="1:2" x14ac:dyDescent="0.25">
      <c r="A313" s="19" t="s">
        <v>53</v>
      </c>
      <c r="B313" s="17">
        <v>16297</v>
      </c>
    </row>
    <row r="314" spans="1:2" x14ac:dyDescent="0.25">
      <c r="A314" s="19" t="s">
        <v>59</v>
      </c>
      <c r="B314" s="17">
        <v>14736</v>
      </c>
    </row>
    <row r="315" spans="1:2" x14ac:dyDescent="0.25">
      <c r="A315" s="19" t="s">
        <v>35</v>
      </c>
      <c r="B315" s="17">
        <v>3092</v>
      </c>
    </row>
    <row r="316" spans="1:2" x14ac:dyDescent="0.25">
      <c r="A316" s="19" t="s">
        <v>43</v>
      </c>
      <c r="B316" s="17">
        <v>3585</v>
      </c>
    </row>
    <row r="317" spans="1:2" x14ac:dyDescent="0.25">
      <c r="A317" s="19" t="s">
        <v>49</v>
      </c>
      <c r="B317" s="17">
        <v>1150</v>
      </c>
    </row>
    <row r="318" spans="1:2" x14ac:dyDescent="0.25">
      <c r="A318" s="19" t="s">
        <v>42</v>
      </c>
      <c r="B318" s="17">
        <v>1232</v>
      </c>
    </row>
    <row r="319" spans="1:2" x14ac:dyDescent="0.25">
      <c r="A319" s="19" t="s">
        <v>60</v>
      </c>
      <c r="B319" s="17">
        <v>5468</v>
      </c>
    </row>
    <row r="320" spans="1:2" x14ac:dyDescent="0.25">
      <c r="A320" s="19" t="s">
        <v>38</v>
      </c>
      <c r="B320" s="17">
        <v>2781</v>
      </c>
    </row>
    <row r="321" spans="1:2" x14ac:dyDescent="0.25">
      <c r="A321" s="19" t="s">
        <v>44</v>
      </c>
      <c r="B321" s="17">
        <v>14476</v>
      </c>
    </row>
    <row r="322" spans="1:2" x14ac:dyDescent="0.25">
      <c r="A322" s="19" t="s">
        <v>64</v>
      </c>
      <c r="B322" s="17">
        <v>58045</v>
      </c>
    </row>
    <row r="323" spans="1:2" x14ac:dyDescent="0.25">
      <c r="A323" s="19" t="s">
        <v>33</v>
      </c>
      <c r="B323" s="17">
        <v>5017</v>
      </c>
    </row>
    <row r="324" spans="1:2" x14ac:dyDescent="0.25">
      <c r="A324" s="19" t="s">
        <v>50</v>
      </c>
      <c r="B324" s="17">
        <v>86174</v>
      </c>
    </row>
    <row r="325" spans="1:2" x14ac:dyDescent="0.25">
      <c r="A325" s="19" t="s">
        <v>34</v>
      </c>
      <c r="B325" s="17">
        <v>13459</v>
      </c>
    </row>
    <row r="326" spans="1:2" x14ac:dyDescent="0.25">
      <c r="A326" s="19" t="s">
        <v>40</v>
      </c>
      <c r="B326" s="17">
        <v>30328</v>
      </c>
    </row>
    <row r="327" spans="1:2" x14ac:dyDescent="0.25">
      <c r="A327" s="19" t="s">
        <v>58</v>
      </c>
      <c r="B327" s="17">
        <v>27821</v>
      </c>
    </row>
    <row r="328" spans="1:2" x14ac:dyDescent="0.25">
      <c r="A328" s="19" t="s">
        <v>69</v>
      </c>
      <c r="B328" s="17">
        <v>33168</v>
      </c>
    </row>
    <row r="329" spans="1:2" x14ac:dyDescent="0.25">
      <c r="A329" s="19" t="s">
        <v>70</v>
      </c>
      <c r="B329" s="17">
        <v>86174</v>
      </c>
    </row>
    <row r="330" spans="1:2" x14ac:dyDescent="0.25">
      <c r="A330" s="19" t="s">
        <v>36</v>
      </c>
      <c r="B330" s="17">
        <v>4759</v>
      </c>
    </row>
    <row r="331" spans="1:2" x14ac:dyDescent="0.25">
      <c r="A331" s="19" t="s">
        <v>46</v>
      </c>
      <c r="B331" s="17">
        <v>6527</v>
      </c>
    </row>
    <row r="332" spans="1:2" x14ac:dyDescent="0.25">
      <c r="A332" s="19" t="s">
        <v>66</v>
      </c>
      <c r="B332" s="17">
        <v>-35009</v>
      </c>
    </row>
    <row r="333" spans="1:2" x14ac:dyDescent="0.25">
      <c r="A333" s="11" t="s">
        <v>114</v>
      </c>
      <c r="B333" s="17">
        <v>-12828</v>
      </c>
    </row>
    <row r="334" spans="1:2" x14ac:dyDescent="0.25">
      <c r="A334" s="19" t="s">
        <v>73</v>
      </c>
      <c r="B334" s="17">
        <v>0</v>
      </c>
    </row>
    <row r="335" spans="1:2" x14ac:dyDescent="0.25">
      <c r="A335" s="19" t="s">
        <v>85</v>
      </c>
      <c r="B335" s="17">
        <v>-1486</v>
      </c>
    </row>
    <row r="336" spans="1:2" x14ac:dyDescent="0.25">
      <c r="A336" s="19" t="s">
        <v>101</v>
      </c>
      <c r="B336" s="17">
        <v>0</v>
      </c>
    </row>
    <row r="337" spans="1:2" x14ac:dyDescent="0.25">
      <c r="A337" s="19" t="s">
        <v>100</v>
      </c>
      <c r="B337" s="17">
        <v>0</v>
      </c>
    </row>
    <row r="338" spans="1:2" x14ac:dyDescent="0.25">
      <c r="A338" s="19" t="s">
        <v>98</v>
      </c>
      <c r="B338" s="17">
        <v>0</v>
      </c>
    </row>
    <row r="339" spans="1:2" x14ac:dyDescent="0.25">
      <c r="A339" s="19" t="s">
        <v>25</v>
      </c>
      <c r="B339" s="17">
        <v>9086</v>
      </c>
    </row>
    <row r="340" spans="1:2" x14ac:dyDescent="0.25">
      <c r="A340" s="19" t="s">
        <v>61</v>
      </c>
      <c r="B340" s="17">
        <v>632</v>
      </c>
    </row>
    <row r="341" spans="1:2" x14ac:dyDescent="0.25">
      <c r="A341" s="19" t="s">
        <v>72</v>
      </c>
      <c r="B341" s="17">
        <v>1982</v>
      </c>
    </row>
    <row r="342" spans="1:2" x14ac:dyDescent="0.25">
      <c r="A342" s="19" t="s">
        <v>95</v>
      </c>
      <c r="B342" s="17">
        <v>-4595</v>
      </c>
    </row>
    <row r="343" spans="1:2" x14ac:dyDescent="0.25">
      <c r="A343" s="19" t="s">
        <v>99</v>
      </c>
      <c r="B343" s="17">
        <v>-255</v>
      </c>
    </row>
    <row r="344" spans="1:2" x14ac:dyDescent="0.25">
      <c r="A344" s="19" t="s">
        <v>75</v>
      </c>
      <c r="B344" s="17">
        <v>-426</v>
      </c>
    </row>
    <row r="345" spans="1:2" x14ac:dyDescent="0.25">
      <c r="A345" s="19" t="s">
        <v>76</v>
      </c>
      <c r="B345" s="17">
        <v>-130</v>
      </c>
    </row>
    <row r="346" spans="1:2" x14ac:dyDescent="0.25">
      <c r="A346" s="19" t="s">
        <v>91</v>
      </c>
      <c r="B346" s="17">
        <v>42791</v>
      </c>
    </row>
    <row r="347" spans="1:2" x14ac:dyDescent="0.25">
      <c r="A347" s="19" t="s">
        <v>93</v>
      </c>
      <c r="B347" s="17">
        <v>1489</v>
      </c>
    </row>
    <row r="348" spans="1:2" x14ac:dyDescent="0.25">
      <c r="A348" s="19" t="s">
        <v>102</v>
      </c>
      <c r="B348" s="17">
        <v>0</v>
      </c>
    </row>
    <row r="349" spans="1:2" x14ac:dyDescent="0.25">
      <c r="A349" s="19" t="s">
        <v>97</v>
      </c>
      <c r="B349" s="17">
        <v>-3347</v>
      </c>
    </row>
    <row r="350" spans="1:2" x14ac:dyDescent="0.25">
      <c r="A350" s="19" t="s">
        <v>90</v>
      </c>
      <c r="B350" s="17">
        <v>-11404</v>
      </c>
    </row>
    <row r="351" spans="1:2" x14ac:dyDescent="0.25">
      <c r="A351" s="19" t="s">
        <v>81</v>
      </c>
      <c r="B351" s="17">
        <v>10645</v>
      </c>
    </row>
    <row r="352" spans="1:2" x14ac:dyDescent="0.25">
      <c r="A352" s="19" t="s">
        <v>80</v>
      </c>
      <c r="B352" s="17">
        <v>-1080</v>
      </c>
    </row>
    <row r="353" spans="1:2" x14ac:dyDescent="0.25">
      <c r="A353" s="19" t="s">
        <v>27</v>
      </c>
      <c r="B353" s="17">
        <v>0</v>
      </c>
    </row>
    <row r="354" spans="1:2" x14ac:dyDescent="0.25">
      <c r="A354" s="19" t="s">
        <v>103</v>
      </c>
      <c r="B354" s="17">
        <v>-4361</v>
      </c>
    </row>
    <row r="355" spans="1:2" x14ac:dyDescent="0.25">
      <c r="A355" s="19" t="s">
        <v>96</v>
      </c>
      <c r="B355" s="17">
        <v>100</v>
      </c>
    </row>
    <row r="356" spans="1:2" x14ac:dyDescent="0.25">
      <c r="A356" s="19" t="s">
        <v>89</v>
      </c>
      <c r="B356" s="17">
        <v>-268</v>
      </c>
    </row>
    <row r="357" spans="1:2" x14ac:dyDescent="0.25">
      <c r="A357" s="19" t="s">
        <v>79</v>
      </c>
      <c r="B357" s="17">
        <v>254</v>
      </c>
    </row>
    <row r="358" spans="1:2" x14ac:dyDescent="0.25">
      <c r="A358" s="19" t="s">
        <v>17</v>
      </c>
      <c r="B358" s="17">
        <v>166</v>
      </c>
    </row>
    <row r="359" spans="1:2" x14ac:dyDescent="0.25">
      <c r="A359" s="19" t="s">
        <v>78</v>
      </c>
      <c r="B359" s="17">
        <v>0</v>
      </c>
    </row>
    <row r="360" spans="1:2" x14ac:dyDescent="0.25">
      <c r="A360" s="19" t="s">
        <v>92</v>
      </c>
      <c r="B360" s="17">
        <v>-38573</v>
      </c>
    </row>
    <row r="361" spans="1:2" x14ac:dyDescent="0.25">
      <c r="A361" s="19" t="s">
        <v>86</v>
      </c>
      <c r="B361" s="17">
        <v>20</v>
      </c>
    </row>
    <row r="362" spans="1:2" x14ac:dyDescent="0.25">
      <c r="A362" s="19" t="s">
        <v>84</v>
      </c>
      <c r="B362" s="17">
        <v>7791</v>
      </c>
    </row>
    <row r="363" spans="1:2" x14ac:dyDescent="0.25">
      <c r="A363" s="19" t="s">
        <v>88</v>
      </c>
      <c r="B363" s="17">
        <v>143</v>
      </c>
    </row>
    <row r="364" spans="1:2" x14ac:dyDescent="0.25">
      <c r="A364" s="19" t="s">
        <v>83</v>
      </c>
      <c r="B364" s="17">
        <v>-14824</v>
      </c>
    </row>
    <row r="365" spans="1:2" x14ac:dyDescent="0.25">
      <c r="A365" s="19" t="s">
        <v>87</v>
      </c>
      <c r="B365" s="17">
        <v>-2780</v>
      </c>
    </row>
    <row r="366" spans="1:2" x14ac:dyDescent="0.25">
      <c r="A366" s="19" t="s">
        <v>82</v>
      </c>
      <c r="B366" s="17">
        <v>0</v>
      </c>
    </row>
    <row r="367" spans="1:2" x14ac:dyDescent="0.25">
      <c r="A367" s="19" t="s">
        <v>94</v>
      </c>
      <c r="B367" s="17">
        <v>-4559</v>
      </c>
    </row>
    <row r="368" spans="1:2" x14ac:dyDescent="0.25">
      <c r="A368" s="19" t="s">
        <v>77</v>
      </c>
      <c r="B368" s="17">
        <v>-98</v>
      </c>
    </row>
    <row r="369" spans="1:2" x14ac:dyDescent="0.25">
      <c r="A369" s="19" t="s">
        <v>74</v>
      </c>
      <c r="B369" s="17">
        <v>259</v>
      </c>
    </row>
    <row r="370" spans="1:2" x14ac:dyDescent="0.25">
      <c r="A370" s="11" t="s">
        <v>109</v>
      </c>
      <c r="B370" s="17">
        <v>159526</v>
      </c>
    </row>
    <row r="371" spans="1:2" x14ac:dyDescent="0.25">
      <c r="A371" s="19" t="s">
        <v>25</v>
      </c>
      <c r="B371" s="17">
        <v>9086</v>
      </c>
    </row>
    <row r="372" spans="1:2" x14ac:dyDescent="0.25">
      <c r="A372" s="19" t="s">
        <v>14</v>
      </c>
      <c r="B372" s="17">
        <v>19053</v>
      </c>
    </row>
    <row r="373" spans="1:2" x14ac:dyDescent="0.25">
      <c r="A373" s="19" t="s">
        <v>21</v>
      </c>
      <c r="B373" s="17">
        <v>819</v>
      </c>
    </row>
    <row r="374" spans="1:2" x14ac:dyDescent="0.25">
      <c r="A374" s="19" t="s">
        <v>15</v>
      </c>
      <c r="B374" s="17">
        <v>28964</v>
      </c>
    </row>
    <row r="375" spans="1:2" x14ac:dyDescent="0.25">
      <c r="A375" s="19" t="s">
        <v>28</v>
      </c>
      <c r="B375" s="17">
        <v>0</v>
      </c>
    </row>
    <row r="376" spans="1:2" x14ac:dyDescent="0.25">
      <c r="A376" s="19" t="s">
        <v>23</v>
      </c>
      <c r="B376" s="17">
        <v>11809</v>
      </c>
    </row>
    <row r="377" spans="1:2" x14ac:dyDescent="0.25">
      <c r="A377" s="19" t="s">
        <v>24</v>
      </c>
      <c r="B377" s="17">
        <v>2723</v>
      </c>
    </row>
    <row r="378" spans="1:2" x14ac:dyDescent="0.25">
      <c r="A378" s="19" t="s">
        <v>20</v>
      </c>
      <c r="B378" s="17">
        <v>397</v>
      </c>
    </row>
    <row r="379" spans="1:2" x14ac:dyDescent="0.25">
      <c r="A379" s="19" t="s">
        <v>19</v>
      </c>
      <c r="B379" s="17">
        <v>471</v>
      </c>
    </row>
    <row r="380" spans="1:2" x14ac:dyDescent="0.25">
      <c r="A380" s="19" t="s">
        <v>26</v>
      </c>
      <c r="B380" s="17">
        <v>67</v>
      </c>
    </row>
    <row r="381" spans="1:2" x14ac:dyDescent="0.25">
      <c r="A381" s="19" t="s">
        <v>29</v>
      </c>
      <c r="B381" s="17">
        <v>9019</v>
      </c>
    </row>
    <row r="382" spans="1:2" x14ac:dyDescent="0.25">
      <c r="A382" s="19" t="s">
        <v>27</v>
      </c>
      <c r="B382" s="17">
        <v>0</v>
      </c>
    </row>
    <row r="383" spans="1:2" x14ac:dyDescent="0.25">
      <c r="A383" s="19" t="s">
        <v>13</v>
      </c>
      <c r="B383" s="17">
        <v>48017</v>
      </c>
    </row>
    <row r="384" spans="1:2" x14ac:dyDescent="0.25">
      <c r="A384" s="19" t="s">
        <v>18</v>
      </c>
      <c r="B384" s="17">
        <v>10779</v>
      </c>
    </row>
    <row r="385" spans="1:2" x14ac:dyDescent="0.25">
      <c r="A385" s="19" t="s">
        <v>22</v>
      </c>
      <c r="B385" s="17">
        <v>137</v>
      </c>
    </row>
    <row r="386" spans="1:2" x14ac:dyDescent="0.25">
      <c r="A386" s="19" t="s">
        <v>17</v>
      </c>
      <c r="B386" s="17">
        <v>447</v>
      </c>
    </row>
    <row r="387" spans="1:2" x14ac:dyDescent="0.25">
      <c r="A387" s="19" t="s">
        <v>16</v>
      </c>
      <c r="B387" s="17">
        <v>17738</v>
      </c>
    </row>
    <row r="388" spans="1:2" x14ac:dyDescent="0.25">
      <c r="A388" s="9">
        <v>2013</v>
      </c>
      <c r="B388" s="17">
        <v>665492</v>
      </c>
    </row>
    <row r="389" spans="1:2" x14ac:dyDescent="0.25">
      <c r="A389" s="11" t="s">
        <v>30</v>
      </c>
      <c r="B389" s="17">
        <v>503069</v>
      </c>
    </row>
    <row r="390" spans="1:2" x14ac:dyDescent="0.25">
      <c r="A390" s="19" t="s">
        <v>52</v>
      </c>
      <c r="B390" s="17">
        <v>9577</v>
      </c>
    </row>
    <row r="391" spans="1:2" x14ac:dyDescent="0.25">
      <c r="A391" s="19" t="s">
        <v>55</v>
      </c>
      <c r="B391" s="17">
        <v>309</v>
      </c>
    </row>
    <row r="392" spans="1:2" x14ac:dyDescent="0.25">
      <c r="A392" s="19" t="s">
        <v>65</v>
      </c>
      <c r="B392" s="17">
        <v>-3432</v>
      </c>
    </row>
    <row r="393" spans="1:2" x14ac:dyDescent="0.25">
      <c r="A393" s="19" t="s">
        <v>39</v>
      </c>
      <c r="B393" s="17">
        <v>0</v>
      </c>
    </row>
    <row r="394" spans="1:2" x14ac:dyDescent="0.25">
      <c r="A394" s="19" t="s">
        <v>47</v>
      </c>
      <c r="B394" s="17">
        <v>7415</v>
      </c>
    </row>
    <row r="395" spans="1:2" x14ac:dyDescent="0.25">
      <c r="A395" s="19" t="s">
        <v>63</v>
      </c>
      <c r="B395" s="17">
        <v>12276</v>
      </c>
    </row>
    <row r="396" spans="1:2" x14ac:dyDescent="0.25">
      <c r="A396" s="19" t="s">
        <v>32</v>
      </c>
      <c r="B396" s="17">
        <v>10414</v>
      </c>
    </row>
    <row r="397" spans="1:2" x14ac:dyDescent="0.25">
      <c r="A397" s="19" t="s">
        <v>62</v>
      </c>
      <c r="B397" s="17">
        <v>1760</v>
      </c>
    </row>
    <row r="398" spans="1:2" x14ac:dyDescent="0.25">
      <c r="A398" s="19" t="s">
        <v>54</v>
      </c>
      <c r="B398" s="17">
        <v>1024</v>
      </c>
    </row>
    <row r="399" spans="1:2" x14ac:dyDescent="0.25">
      <c r="A399" s="19" t="s">
        <v>45</v>
      </c>
      <c r="B399" s="17">
        <v>0</v>
      </c>
    </row>
    <row r="400" spans="1:2" x14ac:dyDescent="0.25">
      <c r="A400" s="19" t="s">
        <v>61</v>
      </c>
      <c r="B400" s="17">
        <v>6152</v>
      </c>
    </row>
    <row r="401" spans="1:2" x14ac:dyDescent="0.25">
      <c r="A401" s="19" t="s">
        <v>68</v>
      </c>
      <c r="B401" s="17">
        <v>267</v>
      </c>
    </row>
    <row r="402" spans="1:2" x14ac:dyDescent="0.25">
      <c r="A402" s="19" t="s">
        <v>67</v>
      </c>
      <c r="B402" s="17">
        <v>33173</v>
      </c>
    </row>
    <row r="403" spans="1:2" x14ac:dyDescent="0.25">
      <c r="A403" s="19" t="s">
        <v>41</v>
      </c>
      <c r="B403" s="17">
        <v>10393</v>
      </c>
    </row>
    <row r="404" spans="1:2" x14ac:dyDescent="0.25">
      <c r="A404" s="19" t="s">
        <v>48</v>
      </c>
      <c r="B404" s="17">
        <v>12312</v>
      </c>
    </row>
    <row r="405" spans="1:2" x14ac:dyDescent="0.25">
      <c r="A405" s="19" t="s">
        <v>37</v>
      </c>
      <c r="B405" s="17">
        <v>3277</v>
      </c>
    </row>
    <row r="406" spans="1:2" x14ac:dyDescent="0.25">
      <c r="A406" s="19" t="s">
        <v>51</v>
      </c>
      <c r="B406" s="17">
        <v>0</v>
      </c>
    </row>
    <row r="407" spans="1:2" x14ac:dyDescent="0.25">
      <c r="A407" s="19" t="s">
        <v>56</v>
      </c>
      <c r="B407" s="17">
        <v>0</v>
      </c>
    </row>
    <row r="408" spans="1:2" x14ac:dyDescent="0.25">
      <c r="A408" s="19" t="s">
        <v>57</v>
      </c>
      <c r="B408" s="17">
        <v>0</v>
      </c>
    </row>
    <row r="409" spans="1:2" x14ac:dyDescent="0.25">
      <c r="A409" s="19" t="s">
        <v>53</v>
      </c>
      <c r="B409" s="17">
        <v>16901</v>
      </c>
    </row>
    <row r="410" spans="1:2" x14ac:dyDescent="0.25">
      <c r="A410" s="19" t="s">
        <v>59</v>
      </c>
      <c r="B410" s="17">
        <v>19154</v>
      </c>
    </row>
    <row r="411" spans="1:2" x14ac:dyDescent="0.25">
      <c r="A411" s="19" t="s">
        <v>35</v>
      </c>
      <c r="B411" s="17">
        <v>3147</v>
      </c>
    </row>
    <row r="412" spans="1:2" x14ac:dyDescent="0.25">
      <c r="A412" s="19" t="s">
        <v>43</v>
      </c>
      <c r="B412" s="17">
        <v>4661</v>
      </c>
    </row>
    <row r="413" spans="1:2" x14ac:dyDescent="0.25">
      <c r="A413" s="19" t="s">
        <v>49</v>
      </c>
      <c r="B413" s="17">
        <v>1140</v>
      </c>
    </row>
    <row r="414" spans="1:2" x14ac:dyDescent="0.25">
      <c r="A414" s="19" t="s">
        <v>42</v>
      </c>
      <c r="B414" s="17">
        <v>1119</v>
      </c>
    </row>
    <row r="415" spans="1:2" x14ac:dyDescent="0.25">
      <c r="A415" s="19" t="s">
        <v>60</v>
      </c>
      <c r="B415" s="17">
        <v>3498</v>
      </c>
    </row>
    <row r="416" spans="1:2" x14ac:dyDescent="0.25">
      <c r="A416" s="19" t="s">
        <v>38</v>
      </c>
      <c r="B416" s="17">
        <v>2886</v>
      </c>
    </row>
    <row r="417" spans="1:2" x14ac:dyDescent="0.25">
      <c r="A417" s="19" t="s">
        <v>44</v>
      </c>
      <c r="B417" s="17">
        <v>14967</v>
      </c>
    </row>
    <row r="418" spans="1:2" x14ac:dyDescent="0.25">
      <c r="A418" s="19" t="s">
        <v>64</v>
      </c>
      <c r="B418" s="17">
        <v>61660</v>
      </c>
    </row>
    <row r="419" spans="1:2" x14ac:dyDescent="0.25">
      <c r="A419" s="19" t="s">
        <v>33</v>
      </c>
      <c r="B419" s="17">
        <v>6707</v>
      </c>
    </row>
    <row r="420" spans="1:2" x14ac:dyDescent="0.25">
      <c r="A420" s="19" t="s">
        <v>50</v>
      </c>
      <c r="B420" s="17">
        <v>90055</v>
      </c>
    </row>
    <row r="421" spans="1:2" x14ac:dyDescent="0.25">
      <c r="A421" s="19" t="s">
        <v>34</v>
      </c>
      <c r="B421" s="17">
        <v>17121</v>
      </c>
    </row>
    <row r="422" spans="1:2" x14ac:dyDescent="0.25">
      <c r="A422" s="19" t="s">
        <v>40</v>
      </c>
      <c r="B422" s="17">
        <v>31304</v>
      </c>
    </row>
    <row r="423" spans="1:2" x14ac:dyDescent="0.25">
      <c r="A423" s="19" t="s">
        <v>58</v>
      </c>
      <c r="B423" s="17">
        <v>27811</v>
      </c>
    </row>
    <row r="424" spans="1:2" x14ac:dyDescent="0.25">
      <c r="A424" s="19" t="s">
        <v>69</v>
      </c>
      <c r="B424" s="17">
        <v>33440</v>
      </c>
    </row>
    <row r="425" spans="1:2" x14ac:dyDescent="0.25">
      <c r="A425" s="19" t="s">
        <v>70</v>
      </c>
      <c r="B425" s="17">
        <v>90055</v>
      </c>
    </row>
    <row r="426" spans="1:2" x14ac:dyDescent="0.25">
      <c r="A426" s="19" t="s">
        <v>36</v>
      </c>
      <c r="B426" s="17">
        <v>4873</v>
      </c>
    </row>
    <row r="427" spans="1:2" x14ac:dyDescent="0.25">
      <c r="A427" s="19" t="s">
        <v>46</v>
      </c>
      <c r="B427" s="17">
        <v>6744</v>
      </c>
    </row>
    <row r="428" spans="1:2" x14ac:dyDescent="0.25">
      <c r="A428" s="19" t="s">
        <v>66</v>
      </c>
      <c r="B428" s="17">
        <v>-39091</v>
      </c>
    </row>
    <row r="429" spans="1:2" x14ac:dyDescent="0.25">
      <c r="A429" s="11" t="s">
        <v>114</v>
      </c>
      <c r="B429" s="17">
        <v>6527</v>
      </c>
    </row>
    <row r="430" spans="1:2" x14ac:dyDescent="0.25">
      <c r="A430" s="19" t="s">
        <v>73</v>
      </c>
      <c r="B430" s="17">
        <v>0</v>
      </c>
    </row>
    <row r="431" spans="1:2" x14ac:dyDescent="0.25">
      <c r="A431" s="19" t="s">
        <v>85</v>
      </c>
      <c r="B431" s="17">
        <v>-353</v>
      </c>
    </row>
    <row r="432" spans="1:2" x14ac:dyDescent="0.25">
      <c r="A432" s="19" t="s">
        <v>101</v>
      </c>
      <c r="B432" s="17">
        <v>0</v>
      </c>
    </row>
    <row r="433" spans="1:2" x14ac:dyDescent="0.25">
      <c r="A433" s="19" t="s">
        <v>100</v>
      </c>
      <c r="B433" s="17">
        <v>0</v>
      </c>
    </row>
    <row r="434" spans="1:2" x14ac:dyDescent="0.25">
      <c r="A434" s="19" t="s">
        <v>98</v>
      </c>
      <c r="B434" s="17">
        <v>0</v>
      </c>
    </row>
    <row r="435" spans="1:2" x14ac:dyDescent="0.25">
      <c r="A435" s="19" t="s">
        <v>25</v>
      </c>
      <c r="B435" s="17">
        <v>8626</v>
      </c>
    </row>
    <row r="436" spans="1:2" x14ac:dyDescent="0.25">
      <c r="A436" s="19" t="s">
        <v>61</v>
      </c>
      <c r="B436" s="17">
        <v>648</v>
      </c>
    </row>
    <row r="437" spans="1:2" x14ac:dyDescent="0.25">
      <c r="A437" s="19" t="s">
        <v>72</v>
      </c>
      <c r="B437" s="17">
        <v>1977</v>
      </c>
    </row>
    <row r="438" spans="1:2" x14ac:dyDescent="0.25">
      <c r="A438" s="19" t="s">
        <v>95</v>
      </c>
      <c r="B438" s="17">
        <v>-4969</v>
      </c>
    </row>
    <row r="439" spans="1:2" x14ac:dyDescent="0.25">
      <c r="A439" s="19" t="s">
        <v>99</v>
      </c>
      <c r="B439" s="17">
        <v>-611</v>
      </c>
    </row>
    <row r="440" spans="1:2" x14ac:dyDescent="0.25">
      <c r="A440" s="19" t="s">
        <v>75</v>
      </c>
      <c r="B440" s="17">
        <v>-201</v>
      </c>
    </row>
    <row r="441" spans="1:2" x14ac:dyDescent="0.25">
      <c r="A441" s="19" t="s">
        <v>76</v>
      </c>
      <c r="B441" s="17">
        <v>168</v>
      </c>
    </row>
    <row r="442" spans="1:2" x14ac:dyDescent="0.25">
      <c r="A442" s="19" t="s">
        <v>91</v>
      </c>
      <c r="B442" s="17">
        <v>43425</v>
      </c>
    </row>
    <row r="443" spans="1:2" x14ac:dyDescent="0.25">
      <c r="A443" s="19" t="s">
        <v>93</v>
      </c>
      <c r="B443" s="17">
        <v>1328</v>
      </c>
    </row>
    <row r="444" spans="1:2" x14ac:dyDescent="0.25">
      <c r="A444" s="19" t="s">
        <v>102</v>
      </c>
      <c r="B444" s="17">
        <v>0</v>
      </c>
    </row>
    <row r="445" spans="1:2" x14ac:dyDescent="0.25">
      <c r="A445" s="19" t="s">
        <v>97</v>
      </c>
      <c r="B445" s="17">
        <v>-3745</v>
      </c>
    </row>
    <row r="446" spans="1:2" x14ac:dyDescent="0.25">
      <c r="A446" s="19" t="s">
        <v>90</v>
      </c>
      <c r="B446" s="17">
        <v>-4214</v>
      </c>
    </row>
    <row r="447" spans="1:2" x14ac:dyDescent="0.25">
      <c r="A447" s="19" t="s">
        <v>81</v>
      </c>
      <c r="B447" s="17">
        <v>10542</v>
      </c>
    </row>
    <row r="448" spans="1:2" x14ac:dyDescent="0.25">
      <c r="A448" s="19" t="s">
        <v>80</v>
      </c>
      <c r="B448" s="17">
        <v>-932</v>
      </c>
    </row>
    <row r="449" spans="1:2" x14ac:dyDescent="0.25">
      <c r="A449" s="19" t="s">
        <v>27</v>
      </c>
      <c r="B449" s="17">
        <v>0</v>
      </c>
    </row>
    <row r="450" spans="1:2" x14ac:dyDescent="0.25">
      <c r="A450" s="19" t="s">
        <v>103</v>
      </c>
      <c r="B450" s="17">
        <v>1972</v>
      </c>
    </row>
    <row r="451" spans="1:2" x14ac:dyDescent="0.25">
      <c r="A451" s="19" t="s">
        <v>96</v>
      </c>
      <c r="B451" s="17">
        <v>17</v>
      </c>
    </row>
    <row r="452" spans="1:2" x14ac:dyDescent="0.25">
      <c r="A452" s="19" t="s">
        <v>89</v>
      </c>
      <c r="B452" s="17">
        <v>-303</v>
      </c>
    </row>
    <row r="453" spans="1:2" x14ac:dyDescent="0.25">
      <c r="A453" s="19" t="s">
        <v>79</v>
      </c>
      <c r="B453" s="17">
        <v>234</v>
      </c>
    </row>
    <row r="454" spans="1:2" x14ac:dyDescent="0.25">
      <c r="A454" s="19" t="s">
        <v>17</v>
      </c>
      <c r="B454" s="17">
        <v>465</v>
      </c>
    </row>
    <row r="455" spans="1:2" x14ac:dyDescent="0.25">
      <c r="A455" s="19" t="s">
        <v>78</v>
      </c>
      <c r="B455" s="17">
        <v>0</v>
      </c>
    </row>
    <row r="456" spans="1:2" x14ac:dyDescent="0.25">
      <c r="A456" s="19" t="s">
        <v>92</v>
      </c>
      <c r="B456" s="17">
        <v>-38714</v>
      </c>
    </row>
    <row r="457" spans="1:2" x14ac:dyDescent="0.25">
      <c r="A457" s="19" t="s">
        <v>86</v>
      </c>
      <c r="B457" s="17">
        <v>872</v>
      </c>
    </row>
    <row r="458" spans="1:2" x14ac:dyDescent="0.25">
      <c r="A458" s="19" t="s">
        <v>84</v>
      </c>
      <c r="B458" s="17">
        <v>12791</v>
      </c>
    </row>
    <row r="459" spans="1:2" x14ac:dyDescent="0.25">
      <c r="A459" s="19" t="s">
        <v>88</v>
      </c>
      <c r="B459" s="17">
        <v>111</v>
      </c>
    </row>
    <row r="460" spans="1:2" x14ac:dyDescent="0.25">
      <c r="A460" s="19" t="s">
        <v>83</v>
      </c>
      <c r="B460" s="17">
        <v>-14782</v>
      </c>
    </row>
    <row r="461" spans="1:2" x14ac:dyDescent="0.25">
      <c r="A461" s="19" t="s">
        <v>87</v>
      </c>
      <c r="B461" s="17">
        <v>-2550</v>
      </c>
    </row>
    <row r="462" spans="1:2" x14ac:dyDescent="0.25">
      <c r="A462" s="19" t="s">
        <v>82</v>
      </c>
      <c r="B462" s="17">
        <v>0</v>
      </c>
    </row>
    <row r="463" spans="1:2" x14ac:dyDescent="0.25">
      <c r="A463" s="19" t="s">
        <v>94</v>
      </c>
      <c r="B463" s="17">
        <v>-4832</v>
      </c>
    </row>
    <row r="464" spans="1:2" x14ac:dyDescent="0.25">
      <c r="A464" s="19" t="s">
        <v>77</v>
      </c>
      <c r="B464" s="17">
        <v>-670</v>
      </c>
    </row>
    <row r="465" spans="1:2" x14ac:dyDescent="0.25">
      <c r="A465" s="19" t="s">
        <v>74</v>
      </c>
      <c r="B465" s="17">
        <v>227</v>
      </c>
    </row>
    <row r="466" spans="1:2" x14ac:dyDescent="0.25">
      <c r="A466" s="11" t="s">
        <v>109</v>
      </c>
      <c r="B466" s="17">
        <v>155896</v>
      </c>
    </row>
    <row r="467" spans="1:2" x14ac:dyDescent="0.25">
      <c r="A467" s="19" t="s">
        <v>25</v>
      </c>
      <c r="B467" s="17">
        <v>8626</v>
      </c>
    </row>
    <row r="468" spans="1:2" x14ac:dyDescent="0.25">
      <c r="A468" s="19" t="s">
        <v>14</v>
      </c>
      <c r="B468" s="17">
        <v>18421</v>
      </c>
    </row>
    <row r="469" spans="1:2" x14ac:dyDescent="0.25">
      <c r="A469" s="19" t="s">
        <v>21</v>
      </c>
      <c r="B469" s="17">
        <v>602</v>
      </c>
    </row>
    <row r="470" spans="1:2" x14ac:dyDescent="0.25">
      <c r="A470" s="19" t="s">
        <v>15</v>
      </c>
      <c r="B470" s="17">
        <v>28433</v>
      </c>
    </row>
    <row r="471" spans="1:2" x14ac:dyDescent="0.25">
      <c r="A471" s="19" t="s">
        <v>28</v>
      </c>
      <c r="B471" s="17">
        <v>0</v>
      </c>
    </row>
    <row r="472" spans="1:2" x14ac:dyDescent="0.25">
      <c r="A472" s="19" t="s">
        <v>23</v>
      </c>
      <c r="B472" s="17">
        <v>11477</v>
      </c>
    </row>
    <row r="473" spans="1:2" x14ac:dyDescent="0.25">
      <c r="A473" s="19" t="s">
        <v>24</v>
      </c>
      <c r="B473" s="17">
        <v>2851</v>
      </c>
    </row>
    <row r="474" spans="1:2" x14ac:dyDescent="0.25">
      <c r="A474" s="19" t="s">
        <v>20</v>
      </c>
      <c r="B474" s="17">
        <v>463</v>
      </c>
    </row>
    <row r="475" spans="1:2" x14ac:dyDescent="0.25">
      <c r="A475" s="19" t="s">
        <v>19</v>
      </c>
      <c r="B475" s="17">
        <v>534</v>
      </c>
    </row>
    <row r="476" spans="1:2" x14ac:dyDescent="0.25">
      <c r="A476" s="19" t="s">
        <v>26</v>
      </c>
      <c r="B476" s="17">
        <v>42</v>
      </c>
    </row>
    <row r="477" spans="1:2" x14ac:dyDescent="0.25">
      <c r="A477" s="19" t="s">
        <v>29</v>
      </c>
      <c r="B477" s="17">
        <v>8584</v>
      </c>
    </row>
    <row r="478" spans="1:2" x14ac:dyDescent="0.25">
      <c r="A478" s="19" t="s">
        <v>27</v>
      </c>
      <c r="B478" s="17">
        <v>0</v>
      </c>
    </row>
    <row r="479" spans="1:2" x14ac:dyDescent="0.25">
      <c r="A479" s="19" t="s">
        <v>13</v>
      </c>
      <c r="B479" s="17">
        <v>46854</v>
      </c>
    </row>
    <row r="480" spans="1:2" x14ac:dyDescent="0.25">
      <c r="A480" s="19" t="s">
        <v>18</v>
      </c>
      <c r="B480" s="17">
        <v>10228</v>
      </c>
    </row>
    <row r="481" spans="1:2" x14ac:dyDescent="0.25">
      <c r="A481" s="19" t="s">
        <v>22</v>
      </c>
      <c r="B481" s="17">
        <v>576</v>
      </c>
    </row>
    <row r="482" spans="1:2" x14ac:dyDescent="0.25">
      <c r="A482" s="19" t="s">
        <v>17</v>
      </c>
      <c r="B482" s="17">
        <v>895</v>
      </c>
    </row>
    <row r="483" spans="1:2" x14ac:dyDescent="0.25">
      <c r="A483" s="19" t="s">
        <v>16</v>
      </c>
      <c r="B483" s="17">
        <v>17310</v>
      </c>
    </row>
    <row r="484" spans="1:2" x14ac:dyDescent="0.25">
      <c r="A484" s="9">
        <v>2014</v>
      </c>
      <c r="B484" s="17">
        <v>655371</v>
      </c>
    </row>
    <row r="485" spans="1:2" x14ac:dyDescent="0.25">
      <c r="A485" s="11" t="s">
        <v>30</v>
      </c>
      <c r="B485" s="17">
        <v>512343</v>
      </c>
    </row>
    <row r="486" spans="1:2" x14ac:dyDescent="0.25">
      <c r="A486" s="19" t="s">
        <v>52</v>
      </c>
      <c r="B486" s="17">
        <v>9234</v>
      </c>
    </row>
    <row r="487" spans="1:2" x14ac:dyDescent="0.25">
      <c r="A487" s="19" t="s">
        <v>55</v>
      </c>
      <c r="B487" s="17">
        <v>400</v>
      </c>
    </row>
    <row r="488" spans="1:2" x14ac:dyDescent="0.25">
      <c r="A488" s="19" t="s">
        <v>65</v>
      </c>
      <c r="B488" s="17">
        <v>-5777</v>
      </c>
    </row>
    <row r="489" spans="1:2" x14ac:dyDescent="0.25">
      <c r="A489" s="19" t="s">
        <v>39</v>
      </c>
      <c r="B489" s="17">
        <v>679</v>
      </c>
    </row>
    <row r="490" spans="1:2" x14ac:dyDescent="0.25">
      <c r="A490" s="19" t="s">
        <v>47</v>
      </c>
      <c r="B490" s="17">
        <v>6689</v>
      </c>
    </row>
    <row r="491" spans="1:2" x14ac:dyDescent="0.25">
      <c r="A491" s="19" t="s">
        <v>63</v>
      </c>
      <c r="B491" s="17">
        <v>13154</v>
      </c>
    </row>
    <row r="492" spans="1:2" x14ac:dyDescent="0.25">
      <c r="A492" s="19" t="s">
        <v>32</v>
      </c>
      <c r="B492" s="17">
        <v>8958</v>
      </c>
    </row>
    <row r="493" spans="1:2" x14ac:dyDescent="0.25">
      <c r="A493" s="19" t="s">
        <v>62</v>
      </c>
      <c r="B493" s="17">
        <v>1760</v>
      </c>
    </row>
    <row r="494" spans="1:2" x14ac:dyDescent="0.25">
      <c r="A494" s="19" t="s">
        <v>54</v>
      </c>
      <c r="B494" s="17">
        <v>3552</v>
      </c>
    </row>
    <row r="495" spans="1:2" x14ac:dyDescent="0.25">
      <c r="A495" s="19" t="s">
        <v>45</v>
      </c>
      <c r="B495" s="17">
        <v>0</v>
      </c>
    </row>
    <row r="496" spans="1:2" x14ac:dyDescent="0.25">
      <c r="A496" s="19" t="s">
        <v>61</v>
      </c>
      <c r="B496" s="17">
        <v>5636</v>
      </c>
    </row>
    <row r="497" spans="1:2" x14ac:dyDescent="0.25">
      <c r="A497" s="19" t="s">
        <v>68</v>
      </c>
      <c r="B497" s="17">
        <v>241</v>
      </c>
    </row>
    <row r="498" spans="1:2" x14ac:dyDescent="0.25">
      <c r="A498" s="19" t="s">
        <v>67</v>
      </c>
      <c r="B498" s="17">
        <v>30320</v>
      </c>
    </row>
    <row r="499" spans="1:2" x14ac:dyDescent="0.25">
      <c r="A499" s="19" t="s">
        <v>41</v>
      </c>
      <c r="B499" s="17">
        <v>9947</v>
      </c>
    </row>
    <row r="500" spans="1:2" x14ac:dyDescent="0.25">
      <c r="A500" s="19" t="s">
        <v>48</v>
      </c>
      <c r="B500" s="17">
        <v>12100</v>
      </c>
    </row>
    <row r="501" spans="1:2" x14ac:dyDescent="0.25">
      <c r="A501" s="19" t="s">
        <v>37</v>
      </c>
      <c r="B501" s="17">
        <v>3100</v>
      </c>
    </row>
    <row r="502" spans="1:2" x14ac:dyDescent="0.25">
      <c r="A502" s="19" t="s">
        <v>51</v>
      </c>
      <c r="B502" s="17">
        <v>0</v>
      </c>
    </row>
    <row r="503" spans="1:2" x14ac:dyDescent="0.25">
      <c r="A503" s="19" t="s">
        <v>56</v>
      </c>
      <c r="B503" s="17">
        <v>58</v>
      </c>
    </row>
    <row r="504" spans="1:2" x14ac:dyDescent="0.25">
      <c r="A504" s="19" t="s">
        <v>57</v>
      </c>
      <c r="B504" s="17">
        <v>0</v>
      </c>
    </row>
    <row r="505" spans="1:2" x14ac:dyDescent="0.25">
      <c r="A505" s="19" t="s">
        <v>53</v>
      </c>
      <c r="B505" s="17">
        <v>19130</v>
      </c>
    </row>
    <row r="506" spans="1:2" x14ac:dyDescent="0.25">
      <c r="A506" s="19" t="s">
        <v>59</v>
      </c>
      <c r="B506" s="17">
        <v>19063</v>
      </c>
    </row>
    <row r="507" spans="1:2" x14ac:dyDescent="0.25">
      <c r="A507" s="19" t="s">
        <v>35</v>
      </c>
      <c r="B507" s="17">
        <v>3665</v>
      </c>
    </row>
    <row r="508" spans="1:2" x14ac:dyDescent="0.25">
      <c r="A508" s="19" t="s">
        <v>43</v>
      </c>
      <c r="B508" s="17">
        <v>4407</v>
      </c>
    </row>
    <row r="509" spans="1:2" x14ac:dyDescent="0.25">
      <c r="A509" s="19" t="s">
        <v>49</v>
      </c>
      <c r="B509" s="17">
        <v>1050</v>
      </c>
    </row>
    <row r="510" spans="1:2" x14ac:dyDescent="0.25">
      <c r="A510" s="19" t="s">
        <v>42</v>
      </c>
      <c r="B510" s="17">
        <v>3678</v>
      </c>
    </row>
    <row r="511" spans="1:2" x14ac:dyDescent="0.25">
      <c r="A511" s="19" t="s">
        <v>60</v>
      </c>
      <c r="B511" s="17">
        <v>4389</v>
      </c>
    </row>
    <row r="512" spans="1:2" x14ac:dyDescent="0.25">
      <c r="A512" s="19" t="s">
        <v>38</v>
      </c>
      <c r="B512" s="17">
        <v>3066</v>
      </c>
    </row>
    <row r="513" spans="1:2" x14ac:dyDescent="0.25">
      <c r="A513" s="19" t="s">
        <v>44</v>
      </c>
      <c r="B513" s="17">
        <v>14633</v>
      </c>
    </row>
    <row r="514" spans="1:2" x14ac:dyDescent="0.25">
      <c r="A514" s="19" t="s">
        <v>64</v>
      </c>
      <c r="B514" s="17">
        <v>63408</v>
      </c>
    </row>
    <row r="515" spans="1:2" x14ac:dyDescent="0.25">
      <c r="A515" s="19" t="s">
        <v>33</v>
      </c>
      <c r="B515" s="17">
        <v>9052</v>
      </c>
    </row>
    <row r="516" spans="1:2" x14ac:dyDescent="0.25">
      <c r="A516" s="19" t="s">
        <v>50</v>
      </c>
      <c r="B516" s="17">
        <v>92023</v>
      </c>
    </row>
    <row r="517" spans="1:2" x14ac:dyDescent="0.25">
      <c r="A517" s="19" t="s">
        <v>34</v>
      </c>
      <c r="B517" s="17">
        <v>18010</v>
      </c>
    </row>
    <row r="518" spans="1:2" x14ac:dyDescent="0.25">
      <c r="A518" s="19" t="s">
        <v>40</v>
      </c>
      <c r="B518" s="17">
        <v>32986</v>
      </c>
    </row>
    <row r="519" spans="1:2" x14ac:dyDescent="0.25">
      <c r="A519" s="19" t="s">
        <v>58</v>
      </c>
      <c r="B519" s="17">
        <v>32374</v>
      </c>
    </row>
    <row r="520" spans="1:2" x14ac:dyDescent="0.25">
      <c r="A520" s="19" t="s">
        <v>69</v>
      </c>
      <c r="B520" s="17">
        <v>30561</v>
      </c>
    </row>
    <row r="521" spans="1:2" x14ac:dyDescent="0.25">
      <c r="A521" s="19" t="s">
        <v>70</v>
      </c>
      <c r="B521" s="17">
        <v>92023</v>
      </c>
    </row>
    <row r="522" spans="1:2" x14ac:dyDescent="0.25">
      <c r="A522" s="19" t="s">
        <v>36</v>
      </c>
      <c r="B522" s="17">
        <v>4466</v>
      </c>
    </row>
    <row r="523" spans="1:2" x14ac:dyDescent="0.25">
      <c r="A523" s="19" t="s">
        <v>46</v>
      </c>
      <c r="B523" s="17">
        <v>6533</v>
      </c>
    </row>
    <row r="524" spans="1:2" x14ac:dyDescent="0.25">
      <c r="A524" s="19" t="s">
        <v>66</v>
      </c>
      <c r="B524" s="17">
        <v>-42225</v>
      </c>
    </row>
    <row r="525" spans="1:2" x14ac:dyDescent="0.25">
      <c r="A525" s="11" t="s">
        <v>114</v>
      </c>
      <c r="B525" s="17">
        <v>-3434</v>
      </c>
    </row>
    <row r="526" spans="1:2" x14ac:dyDescent="0.25">
      <c r="A526" s="19" t="s">
        <v>73</v>
      </c>
      <c r="B526" s="17">
        <v>0</v>
      </c>
    </row>
    <row r="527" spans="1:2" x14ac:dyDescent="0.25">
      <c r="A527" s="19" t="s">
        <v>85</v>
      </c>
      <c r="B527" s="17">
        <v>-389</v>
      </c>
    </row>
    <row r="528" spans="1:2" x14ac:dyDescent="0.25">
      <c r="A528" s="19" t="s">
        <v>101</v>
      </c>
      <c r="B528" s="17">
        <v>0</v>
      </c>
    </row>
    <row r="529" spans="1:2" x14ac:dyDescent="0.25">
      <c r="A529" s="19" t="s">
        <v>100</v>
      </c>
      <c r="B529" s="17">
        <v>0</v>
      </c>
    </row>
    <row r="530" spans="1:2" x14ac:dyDescent="0.25">
      <c r="A530" s="19" t="s">
        <v>98</v>
      </c>
      <c r="B530" s="17">
        <v>0</v>
      </c>
    </row>
    <row r="531" spans="1:2" x14ac:dyDescent="0.25">
      <c r="A531" s="19" t="s">
        <v>25</v>
      </c>
      <c r="B531" s="17">
        <v>7124</v>
      </c>
    </row>
    <row r="532" spans="1:2" x14ac:dyDescent="0.25">
      <c r="A532" s="19" t="s">
        <v>61</v>
      </c>
      <c r="B532" s="17">
        <v>-40</v>
      </c>
    </row>
    <row r="533" spans="1:2" x14ac:dyDescent="0.25">
      <c r="A533" s="19" t="s">
        <v>72</v>
      </c>
      <c r="B533" s="17">
        <v>1976</v>
      </c>
    </row>
    <row r="534" spans="1:2" x14ac:dyDescent="0.25">
      <c r="A534" s="19" t="s">
        <v>95</v>
      </c>
      <c r="B534" s="17">
        <v>-5350</v>
      </c>
    </row>
    <row r="535" spans="1:2" x14ac:dyDescent="0.25">
      <c r="A535" s="19" t="s">
        <v>99</v>
      </c>
      <c r="B535" s="17">
        <v>-934</v>
      </c>
    </row>
    <row r="536" spans="1:2" x14ac:dyDescent="0.25">
      <c r="A536" s="19" t="s">
        <v>75</v>
      </c>
      <c r="B536" s="17">
        <v>-371</v>
      </c>
    </row>
    <row r="537" spans="1:2" x14ac:dyDescent="0.25">
      <c r="A537" s="19" t="s">
        <v>76</v>
      </c>
      <c r="B537" s="17">
        <v>415</v>
      </c>
    </row>
    <row r="538" spans="1:2" x14ac:dyDescent="0.25">
      <c r="A538" s="19" t="s">
        <v>91</v>
      </c>
      <c r="B538" s="17">
        <v>41674</v>
      </c>
    </row>
    <row r="539" spans="1:2" x14ac:dyDescent="0.25">
      <c r="A539" s="19" t="s">
        <v>93</v>
      </c>
      <c r="B539" s="17">
        <v>1532</v>
      </c>
    </row>
    <row r="540" spans="1:2" x14ac:dyDescent="0.25">
      <c r="A540" s="19" t="s">
        <v>102</v>
      </c>
      <c r="B540" s="17">
        <v>0</v>
      </c>
    </row>
    <row r="541" spans="1:2" x14ac:dyDescent="0.25">
      <c r="A541" s="19" t="s">
        <v>97</v>
      </c>
      <c r="B541" s="17">
        <v>-3631</v>
      </c>
    </row>
    <row r="542" spans="1:2" x14ac:dyDescent="0.25">
      <c r="A542" s="19" t="s">
        <v>90</v>
      </c>
      <c r="B542" s="17">
        <v>-7506</v>
      </c>
    </row>
    <row r="543" spans="1:2" x14ac:dyDescent="0.25">
      <c r="A543" s="19" t="s">
        <v>81</v>
      </c>
      <c r="B543" s="17">
        <v>10615</v>
      </c>
    </row>
    <row r="544" spans="1:2" x14ac:dyDescent="0.25">
      <c r="A544" s="19" t="s">
        <v>80</v>
      </c>
      <c r="B544" s="17">
        <v>-439</v>
      </c>
    </row>
    <row r="545" spans="1:2" x14ac:dyDescent="0.25">
      <c r="A545" s="19" t="s">
        <v>27</v>
      </c>
      <c r="B545" s="17">
        <v>0</v>
      </c>
    </row>
    <row r="546" spans="1:2" x14ac:dyDescent="0.25">
      <c r="A546" s="19" t="s">
        <v>103</v>
      </c>
      <c r="B546" s="17">
        <v>-1456</v>
      </c>
    </row>
    <row r="547" spans="1:2" x14ac:dyDescent="0.25">
      <c r="A547" s="19" t="s">
        <v>96</v>
      </c>
      <c r="B547" s="17">
        <v>-363</v>
      </c>
    </row>
    <row r="548" spans="1:2" x14ac:dyDescent="0.25">
      <c r="A548" s="19" t="s">
        <v>89</v>
      </c>
      <c r="B548" s="17">
        <v>-268</v>
      </c>
    </row>
    <row r="549" spans="1:2" x14ac:dyDescent="0.25">
      <c r="A549" s="19" t="s">
        <v>79</v>
      </c>
      <c r="B549" s="17">
        <v>149</v>
      </c>
    </row>
    <row r="550" spans="1:2" x14ac:dyDescent="0.25">
      <c r="A550" s="19" t="s">
        <v>17</v>
      </c>
      <c r="B550" s="17">
        <v>761</v>
      </c>
    </row>
    <row r="551" spans="1:2" x14ac:dyDescent="0.25">
      <c r="A551" s="19" t="s">
        <v>78</v>
      </c>
      <c r="B551" s="17">
        <v>0</v>
      </c>
    </row>
    <row r="552" spans="1:2" x14ac:dyDescent="0.25">
      <c r="A552" s="19" t="s">
        <v>92</v>
      </c>
      <c r="B552" s="17">
        <v>-36962</v>
      </c>
    </row>
    <row r="553" spans="1:2" x14ac:dyDescent="0.25">
      <c r="A553" s="19" t="s">
        <v>86</v>
      </c>
      <c r="B553" s="17">
        <v>148</v>
      </c>
    </row>
    <row r="554" spans="1:2" x14ac:dyDescent="0.25">
      <c r="A554" s="19" t="s">
        <v>84</v>
      </c>
      <c r="B554" s="17">
        <v>12986</v>
      </c>
    </row>
    <row r="555" spans="1:2" x14ac:dyDescent="0.25">
      <c r="A555" s="19" t="s">
        <v>88</v>
      </c>
      <c r="B555" s="17">
        <v>223</v>
      </c>
    </row>
    <row r="556" spans="1:2" x14ac:dyDescent="0.25">
      <c r="A556" s="19" t="s">
        <v>83</v>
      </c>
      <c r="B556" s="17">
        <v>-17800</v>
      </c>
    </row>
    <row r="557" spans="1:2" x14ac:dyDescent="0.25">
      <c r="A557" s="19" t="s">
        <v>87</v>
      </c>
      <c r="B557" s="17">
        <v>-2406</v>
      </c>
    </row>
    <row r="558" spans="1:2" x14ac:dyDescent="0.25">
      <c r="A558" s="19" t="s">
        <v>82</v>
      </c>
      <c r="B558" s="17">
        <v>0</v>
      </c>
    </row>
    <row r="559" spans="1:2" x14ac:dyDescent="0.25">
      <c r="A559" s="19" t="s">
        <v>94</v>
      </c>
      <c r="B559" s="17">
        <v>-4162</v>
      </c>
    </row>
    <row r="560" spans="1:2" x14ac:dyDescent="0.25">
      <c r="A560" s="19" t="s">
        <v>77</v>
      </c>
      <c r="B560" s="17">
        <v>831</v>
      </c>
    </row>
    <row r="561" spans="1:2" x14ac:dyDescent="0.25">
      <c r="A561" s="19" t="s">
        <v>74</v>
      </c>
      <c r="B561" s="17">
        <v>209</v>
      </c>
    </row>
    <row r="562" spans="1:2" x14ac:dyDescent="0.25">
      <c r="A562" s="11" t="s">
        <v>109</v>
      </c>
      <c r="B562" s="17">
        <v>146462</v>
      </c>
    </row>
    <row r="563" spans="1:2" x14ac:dyDescent="0.25">
      <c r="A563" s="19" t="s">
        <v>25</v>
      </c>
      <c r="B563" s="17">
        <v>7124</v>
      </c>
    </row>
    <row r="564" spans="1:2" x14ac:dyDescent="0.25">
      <c r="A564" s="19" t="s">
        <v>14</v>
      </c>
      <c r="B564" s="17">
        <v>17889</v>
      </c>
    </row>
    <row r="565" spans="1:2" x14ac:dyDescent="0.25">
      <c r="A565" s="19" t="s">
        <v>21</v>
      </c>
      <c r="B565" s="17">
        <v>769</v>
      </c>
    </row>
    <row r="566" spans="1:2" x14ac:dyDescent="0.25">
      <c r="A566" s="19" t="s">
        <v>15</v>
      </c>
      <c r="B566" s="17">
        <v>28109</v>
      </c>
    </row>
    <row r="567" spans="1:2" x14ac:dyDescent="0.25">
      <c r="A567" s="19" t="s">
        <v>28</v>
      </c>
      <c r="B567" s="17">
        <v>0</v>
      </c>
    </row>
    <row r="568" spans="1:2" x14ac:dyDescent="0.25">
      <c r="A568" s="19" t="s">
        <v>23</v>
      </c>
      <c r="B568" s="17">
        <v>9325</v>
      </c>
    </row>
    <row r="569" spans="1:2" x14ac:dyDescent="0.25">
      <c r="A569" s="19" t="s">
        <v>24</v>
      </c>
      <c r="B569" s="17">
        <v>2201</v>
      </c>
    </row>
    <row r="570" spans="1:2" x14ac:dyDescent="0.25">
      <c r="A570" s="19" t="s">
        <v>20</v>
      </c>
      <c r="B570" s="17">
        <v>483</v>
      </c>
    </row>
    <row r="571" spans="1:2" x14ac:dyDescent="0.25">
      <c r="A571" s="19" t="s">
        <v>19</v>
      </c>
      <c r="B571" s="17">
        <v>594</v>
      </c>
    </row>
    <row r="572" spans="1:2" x14ac:dyDescent="0.25">
      <c r="A572" s="19" t="s">
        <v>26</v>
      </c>
      <c r="B572" s="17">
        <v>26</v>
      </c>
    </row>
    <row r="573" spans="1:2" x14ac:dyDescent="0.25">
      <c r="A573" s="19" t="s">
        <v>29</v>
      </c>
      <c r="B573" s="17">
        <v>7098</v>
      </c>
    </row>
    <row r="574" spans="1:2" x14ac:dyDescent="0.25">
      <c r="A574" s="19" t="s">
        <v>27</v>
      </c>
      <c r="B574" s="17">
        <v>0</v>
      </c>
    </row>
    <row r="575" spans="1:2" x14ac:dyDescent="0.25">
      <c r="A575" s="19" t="s">
        <v>13</v>
      </c>
      <c r="B575" s="17">
        <v>45998</v>
      </c>
    </row>
    <row r="576" spans="1:2" x14ac:dyDescent="0.25">
      <c r="A576" s="19" t="s">
        <v>18</v>
      </c>
      <c r="B576" s="17">
        <v>9708</v>
      </c>
    </row>
    <row r="577" spans="1:2" x14ac:dyDescent="0.25">
      <c r="A577" s="19" t="s">
        <v>22</v>
      </c>
      <c r="B577" s="17">
        <v>-1263</v>
      </c>
    </row>
    <row r="578" spans="1:2" x14ac:dyDescent="0.25">
      <c r="A578" s="19" t="s">
        <v>17</v>
      </c>
      <c r="B578" s="17">
        <v>1183</v>
      </c>
    </row>
    <row r="579" spans="1:2" x14ac:dyDescent="0.25">
      <c r="A579" s="19" t="s">
        <v>16</v>
      </c>
      <c r="B579" s="17">
        <v>17218</v>
      </c>
    </row>
    <row r="580" spans="1:2" x14ac:dyDescent="0.25">
      <c r="A580" s="9">
        <v>2015</v>
      </c>
      <c r="B580" s="17">
        <v>642485</v>
      </c>
    </row>
    <row r="581" spans="1:2" x14ac:dyDescent="0.25">
      <c r="A581" s="11" t="s">
        <v>30</v>
      </c>
      <c r="B581" s="17">
        <v>487257</v>
      </c>
    </row>
    <row r="582" spans="1:2" x14ac:dyDescent="0.25">
      <c r="A582" s="19" t="s">
        <v>52</v>
      </c>
      <c r="B582" s="17">
        <v>9660</v>
      </c>
    </row>
    <row r="583" spans="1:2" x14ac:dyDescent="0.25">
      <c r="A583" s="19" t="s">
        <v>55</v>
      </c>
      <c r="B583" s="17">
        <v>331</v>
      </c>
    </row>
    <row r="584" spans="1:2" x14ac:dyDescent="0.25">
      <c r="A584" s="19" t="s">
        <v>65</v>
      </c>
      <c r="B584" s="17">
        <v>-10174</v>
      </c>
    </row>
    <row r="585" spans="1:2" x14ac:dyDescent="0.25">
      <c r="A585" s="19" t="s">
        <v>39</v>
      </c>
      <c r="B585" s="17">
        <v>3900</v>
      </c>
    </row>
    <row r="586" spans="1:2" x14ac:dyDescent="0.25">
      <c r="A586" s="19" t="s">
        <v>47</v>
      </c>
      <c r="B586" s="17">
        <v>6000</v>
      </c>
    </row>
    <row r="587" spans="1:2" x14ac:dyDescent="0.25">
      <c r="A587" s="19" t="s">
        <v>63</v>
      </c>
      <c r="B587" s="17">
        <v>14016</v>
      </c>
    </row>
    <row r="588" spans="1:2" x14ac:dyDescent="0.25">
      <c r="A588" s="19" t="s">
        <v>32</v>
      </c>
      <c r="B588" s="17">
        <v>7309</v>
      </c>
    </row>
    <row r="589" spans="1:2" x14ac:dyDescent="0.25">
      <c r="A589" s="19" t="s">
        <v>62</v>
      </c>
      <c r="B589" s="17">
        <v>1760</v>
      </c>
    </row>
    <row r="590" spans="1:2" x14ac:dyDescent="0.25">
      <c r="A590" s="19" t="s">
        <v>54</v>
      </c>
      <c r="B590" s="17">
        <v>2676</v>
      </c>
    </row>
    <row r="591" spans="1:2" x14ac:dyDescent="0.25">
      <c r="A591" s="19" t="s">
        <v>45</v>
      </c>
      <c r="B591" s="17">
        <v>0</v>
      </c>
    </row>
    <row r="592" spans="1:2" x14ac:dyDescent="0.25">
      <c r="A592" s="19" t="s">
        <v>61</v>
      </c>
      <c r="B592" s="17">
        <v>4691</v>
      </c>
    </row>
    <row r="593" spans="1:2" x14ac:dyDescent="0.25">
      <c r="A593" s="19" t="s">
        <v>68</v>
      </c>
      <c r="B593" s="17">
        <v>210</v>
      </c>
    </row>
    <row r="594" spans="1:2" x14ac:dyDescent="0.25">
      <c r="A594" s="19" t="s">
        <v>67</v>
      </c>
      <c r="B594" s="17">
        <v>25554</v>
      </c>
    </row>
    <row r="595" spans="1:2" x14ac:dyDescent="0.25">
      <c r="A595" s="19" t="s">
        <v>41</v>
      </c>
      <c r="B595" s="17">
        <v>12318</v>
      </c>
    </row>
    <row r="596" spans="1:2" x14ac:dyDescent="0.25">
      <c r="A596" s="19" t="s">
        <v>48</v>
      </c>
      <c r="B596" s="17">
        <v>11289</v>
      </c>
    </row>
    <row r="597" spans="1:2" x14ac:dyDescent="0.25">
      <c r="A597" s="19" t="s">
        <v>37</v>
      </c>
      <c r="B597" s="17">
        <v>2902</v>
      </c>
    </row>
    <row r="598" spans="1:2" x14ac:dyDescent="0.25">
      <c r="A598" s="19" t="s">
        <v>51</v>
      </c>
      <c r="B598" s="17">
        <v>0</v>
      </c>
    </row>
    <row r="599" spans="1:2" x14ac:dyDescent="0.25">
      <c r="A599" s="19" t="s">
        <v>56</v>
      </c>
      <c r="B599" s="17">
        <v>1133</v>
      </c>
    </row>
    <row r="600" spans="1:2" x14ac:dyDescent="0.25">
      <c r="A600" s="19" t="s">
        <v>57</v>
      </c>
      <c r="B600" s="17">
        <v>0</v>
      </c>
    </row>
    <row r="601" spans="1:2" x14ac:dyDescent="0.25">
      <c r="A601" s="19" t="s">
        <v>53</v>
      </c>
      <c r="B601" s="17">
        <v>13129</v>
      </c>
    </row>
    <row r="602" spans="1:2" x14ac:dyDescent="0.25">
      <c r="A602" s="19" t="s">
        <v>59</v>
      </c>
      <c r="B602" s="17">
        <v>28311</v>
      </c>
    </row>
    <row r="603" spans="1:2" x14ac:dyDescent="0.25">
      <c r="A603" s="19" t="s">
        <v>35</v>
      </c>
      <c r="B603" s="17">
        <v>4269</v>
      </c>
    </row>
    <row r="604" spans="1:2" x14ac:dyDescent="0.25">
      <c r="A604" s="19" t="s">
        <v>43</v>
      </c>
      <c r="B604" s="17">
        <v>4110</v>
      </c>
    </row>
    <row r="605" spans="1:2" x14ac:dyDescent="0.25">
      <c r="A605" s="19" t="s">
        <v>49</v>
      </c>
      <c r="B605" s="17">
        <v>854</v>
      </c>
    </row>
    <row r="606" spans="1:2" x14ac:dyDescent="0.25">
      <c r="A606" s="19" t="s">
        <v>42</v>
      </c>
      <c r="B606" s="17">
        <v>3470</v>
      </c>
    </row>
    <row r="607" spans="1:2" x14ac:dyDescent="0.25">
      <c r="A607" s="19" t="s">
        <v>60</v>
      </c>
      <c r="B607" s="17">
        <v>4301</v>
      </c>
    </row>
    <row r="608" spans="1:2" x14ac:dyDescent="0.25">
      <c r="A608" s="19" t="s">
        <v>38</v>
      </c>
      <c r="B608" s="17">
        <v>2752</v>
      </c>
    </row>
    <row r="609" spans="1:2" x14ac:dyDescent="0.25">
      <c r="A609" s="19" t="s">
        <v>44</v>
      </c>
      <c r="B609" s="17">
        <v>12571</v>
      </c>
    </row>
    <row r="610" spans="1:2" x14ac:dyDescent="0.25">
      <c r="A610" s="19" t="s">
        <v>64</v>
      </c>
      <c r="B610" s="17">
        <v>65018</v>
      </c>
    </row>
    <row r="611" spans="1:2" x14ac:dyDescent="0.25">
      <c r="A611" s="19" t="s">
        <v>33</v>
      </c>
      <c r="B611" s="17">
        <v>8322</v>
      </c>
    </row>
    <row r="612" spans="1:2" x14ac:dyDescent="0.25">
      <c r="A612" s="19" t="s">
        <v>50</v>
      </c>
      <c r="B612" s="17">
        <v>89996</v>
      </c>
    </row>
    <row r="613" spans="1:2" x14ac:dyDescent="0.25">
      <c r="A613" s="19" t="s">
        <v>34</v>
      </c>
      <c r="B613" s="17">
        <v>15631</v>
      </c>
    </row>
    <row r="614" spans="1:2" x14ac:dyDescent="0.25">
      <c r="A614" s="19" t="s">
        <v>40</v>
      </c>
      <c r="B614" s="17">
        <v>33395</v>
      </c>
    </row>
    <row r="615" spans="1:2" x14ac:dyDescent="0.25">
      <c r="A615" s="19" t="s">
        <v>58</v>
      </c>
      <c r="B615" s="17">
        <v>26929</v>
      </c>
    </row>
    <row r="616" spans="1:2" x14ac:dyDescent="0.25">
      <c r="A616" s="19" t="s">
        <v>69</v>
      </c>
      <c r="B616" s="17">
        <v>25764</v>
      </c>
    </row>
    <row r="617" spans="1:2" x14ac:dyDescent="0.25">
      <c r="A617" s="19" t="s">
        <v>70</v>
      </c>
      <c r="B617" s="17">
        <v>89996</v>
      </c>
    </row>
    <row r="618" spans="1:2" x14ac:dyDescent="0.25">
      <c r="A618" s="19" t="s">
        <v>36</v>
      </c>
      <c r="B618" s="17">
        <v>3941</v>
      </c>
    </row>
    <row r="619" spans="1:2" x14ac:dyDescent="0.25">
      <c r="A619" s="19" t="s">
        <v>46</v>
      </c>
      <c r="B619" s="17">
        <v>5989</v>
      </c>
    </row>
    <row r="620" spans="1:2" x14ac:dyDescent="0.25">
      <c r="A620" s="19" t="s">
        <v>66</v>
      </c>
      <c r="B620" s="17">
        <v>-45066</v>
      </c>
    </row>
    <row r="621" spans="1:2" x14ac:dyDescent="0.25">
      <c r="A621" s="11" t="s">
        <v>114</v>
      </c>
      <c r="B621" s="17">
        <v>3297</v>
      </c>
    </row>
    <row r="622" spans="1:2" x14ac:dyDescent="0.25">
      <c r="A622" s="19" t="s">
        <v>73</v>
      </c>
      <c r="B622" s="17">
        <v>0</v>
      </c>
    </row>
    <row r="623" spans="1:2" x14ac:dyDescent="0.25">
      <c r="A623" s="19" t="s">
        <v>85</v>
      </c>
      <c r="B623" s="17">
        <v>-2491</v>
      </c>
    </row>
    <row r="624" spans="1:2" x14ac:dyDescent="0.25">
      <c r="A624" s="19" t="s">
        <v>101</v>
      </c>
      <c r="B624" s="17">
        <v>0</v>
      </c>
    </row>
    <row r="625" spans="1:2" x14ac:dyDescent="0.25">
      <c r="A625" s="19" t="s">
        <v>100</v>
      </c>
      <c r="B625" s="17">
        <v>0</v>
      </c>
    </row>
    <row r="626" spans="1:2" x14ac:dyDescent="0.25">
      <c r="A626" s="19" t="s">
        <v>98</v>
      </c>
      <c r="B626" s="17">
        <v>0</v>
      </c>
    </row>
    <row r="627" spans="1:2" x14ac:dyDescent="0.25">
      <c r="A627" s="19" t="s">
        <v>25</v>
      </c>
      <c r="B627" s="17">
        <v>7366</v>
      </c>
    </row>
    <row r="628" spans="1:2" x14ac:dyDescent="0.25">
      <c r="A628" s="19" t="s">
        <v>61</v>
      </c>
      <c r="B628" s="17">
        <v>73</v>
      </c>
    </row>
    <row r="629" spans="1:2" x14ac:dyDescent="0.25">
      <c r="A629" s="19" t="s">
        <v>72</v>
      </c>
      <c r="B629" s="17">
        <v>1970</v>
      </c>
    </row>
    <row r="630" spans="1:2" x14ac:dyDescent="0.25">
      <c r="A630" s="19" t="s">
        <v>95</v>
      </c>
      <c r="B630" s="17">
        <v>-5741</v>
      </c>
    </row>
    <row r="631" spans="1:2" x14ac:dyDescent="0.25">
      <c r="A631" s="19" t="s">
        <v>99</v>
      </c>
      <c r="B631" s="17">
        <v>-878</v>
      </c>
    </row>
    <row r="632" spans="1:2" x14ac:dyDescent="0.25">
      <c r="A632" s="19" t="s">
        <v>75</v>
      </c>
      <c r="B632" s="17">
        <v>-122</v>
      </c>
    </row>
    <row r="633" spans="1:2" x14ac:dyDescent="0.25">
      <c r="A633" s="19" t="s">
        <v>76</v>
      </c>
      <c r="B633" s="17">
        <v>-137</v>
      </c>
    </row>
    <row r="634" spans="1:2" x14ac:dyDescent="0.25">
      <c r="A634" s="19" t="s">
        <v>91</v>
      </c>
      <c r="B634" s="17">
        <v>40434</v>
      </c>
    </row>
    <row r="635" spans="1:2" x14ac:dyDescent="0.25">
      <c r="A635" s="19" t="s">
        <v>93</v>
      </c>
      <c r="B635" s="17">
        <v>1245</v>
      </c>
    </row>
    <row r="636" spans="1:2" x14ac:dyDescent="0.25">
      <c r="A636" s="19" t="s">
        <v>102</v>
      </c>
      <c r="B636" s="17">
        <v>0</v>
      </c>
    </row>
    <row r="637" spans="1:2" x14ac:dyDescent="0.25">
      <c r="A637" s="19" t="s">
        <v>97</v>
      </c>
      <c r="B637" s="17">
        <v>-5113</v>
      </c>
    </row>
    <row r="638" spans="1:2" x14ac:dyDescent="0.25">
      <c r="A638" s="19" t="s">
        <v>90</v>
      </c>
      <c r="B638" s="17">
        <v>-6186</v>
      </c>
    </row>
    <row r="639" spans="1:2" x14ac:dyDescent="0.25">
      <c r="A639" s="19" t="s">
        <v>81</v>
      </c>
      <c r="B639" s="17">
        <v>10528</v>
      </c>
    </row>
    <row r="640" spans="1:2" x14ac:dyDescent="0.25">
      <c r="A640" s="19" t="s">
        <v>80</v>
      </c>
      <c r="B640" s="17">
        <v>-157</v>
      </c>
    </row>
    <row r="641" spans="1:2" x14ac:dyDescent="0.25">
      <c r="A641" s="19" t="s">
        <v>27</v>
      </c>
      <c r="B641" s="17">
        <v>7366</v>
      </c>
    </row>
    <row r="642" spans="1:2" x14ac:dyDescent="0.25">
      <c r="A642" s="19" t="s">
        <v>103</v>
      </c>
      <c r="B642" s="17">
        <v>-1649</v>
      </c>
    </row>
    <row r="643" spans="1:2" x14ac:dyDescent="0.25">
      <c r="A643" s="19" t="s">
        <v>96</v>
      </c>
      <c r="B643" s="17">
        <v>251</v>
      </c>
    </row>
    <row r="644" spans="1:2" x14ac:dyDescent="0.25">
      <c r="A644" s="19" t="s">
        <v>89</v>
      </c>
      <c r="B644" s="17">
        <v>-40</v>
      </c>
    </row>
    <row r="645" spans="1:2" x14ac:dyDescent="0.25">
      <c r="A645" s="19" t="s">
        <v>79</v>
      </c>
      <c r="B645" s="17">
        <v>744</v>
      </c>
    </row>
    <row r="646" spans="1:2" x14ac:dyDescent="0.25">
      <c r="A646" s="19" t="s">
        <v>17</v>
      </c>
      <c r="B646" s="17">
        <v>929</v>
      </c>
    </row>
    <row r="647" spans="1:2" x14ac:dyDescent="0.25">
      <c r="A647" s="19" t="s">
        <v>78</v>
      </c>
      <c r="B647" s="17">
        <v>0</v>
      </c>
    </row>
    <row r="648" spans="1:2" x14ac:dyDescent="0.25">
      <c r="A648" s="19" t="s">
        <v>92</v>
      </c>
      <c r="B648" s="17">
        <v>-37738</v>
      </c>
    </row>
    <row r="649" spans="1:2" x14ac:dyDescent="0.25">
      <c r="A649" s="19" t="s">
        <v>86</v>
      </c>
      <c r="B649" s="17">
        <v>565</v>
      </c>
    </row>
    <row r="650" spans="1:2" x14ac:dyDescent="0.25">
      <c r="A650" s="19" t="s">
        <v>84</v>
      </c>
      <c r="B650" s="17">
        <v>14079</v>
      </c>
    </row>
    <row r="651" spans="1:2" x14ac:dyDescent="0.25">
      <c r="A651" s="19" t="s">
        <v>88</v>
      </c>
      <c r="B651" s="17">
        <v>85</v>
      </c>
    </row>
    <row r="652" spans="1:2" x14ac:dyDescent="0.25">
      <c r="A652" s="19" t="s">
        <v>83</v>
      </c>
      <c r="B652" s="17">
        <v>-15831</v>
      </c>
    </row>
    <row r="653" spans="1:2" x14ac:dyDescent="0.25">
      <c r="A653" s="19" t="s">
        <v>87</v>
      </c>
      <c r="B653" s="17">
        <v>-2553</v>
      </c>
    </row>
    <row r="654" spans="1:2" x14ac:dyDescent="0.25">
      <c r="A654" s="19" t="s">
        <v>82</v>
      </c>
      <c r="B654" s="17">
        <v>0</v>
      </c>
    </row>
    <row r="655" spans="1:2" x14ac:dyDescent="0.25">
      <c r="A655" s="19" t="s">
        <v>94</v>
      </c>
      <c r="B655" s="17">
        <v>-3564</v>
      </c>
    </row>
    <row r="656" spans="1:2" x14ac:dyDescent="0.25">
      <c r="A656" s="19" t="s">
        <v>77</v>
      </c>
      <c r="B656" s="17">
        <v>-374</v>
      </c>
    </row>
    <row r="657" spans="1:2" x14ac:dyDescent="0.25">
      <c r="A657" s="19" t="s">
        <v>74</v>
      </c>
      <c r="B657" s="17">
        <v>236</v>
      </c>
    </row>
    <row r="658" spans="1:2" x14ac:dyDescent="0.25">
      <c r="A658" s="11" t="s">
        <v>109</v>
      </c>
      <c r="B658" s="17">
        <v>151931</v>
      </c>
    </row>
    <row r="659" spans="1:2" x14ac:dyDescent="0.25">
      <c r="A659" s="19" t="s">
        <v>25</v>
      </c>
      <c r="B659" s="17">
        <v>7366</v>
      </c>
    </row>
    <row r="660" spans="1:2" x14ac:dyDescent="0.25">
      <c r="A660" s="19" t="s">
        <v>14</v>
      </c>
      <c r="B660" s="17">
        <v>17482</v>
      </c>
    </row>
    <row r="661" spans="1:2" x14ac:dyDescent="0.25">
      <c r="A661" s="19" t="s">
        <v>21</v>
      </c>
      <c r="B661" s="17">
        <v>489</v>
      </c>
    </row>
    <row r="662" spans="1:2" x14ac:dyDescent="0.25">
      <c r="A662" s="19" t="s">
        <v>15</v>
      </c>
      <c r="B662" s="17">
        <v>26812</v>
      </c>
    </row>
    <row r="663" spans="1:2" x14ac:dyDescent="0.25">
      <c r="A663" s="19" t="s">
        <v>28</v>
      </c>
      <c r="B663" s="17">
        <v>0</v>
      </c>
    </row>
    <row r="664" spans="1:2" x14ac:dyDescent="0.25">
      <c r="A664" s="19" t="s">
        <v>23</v>
      </c>
      <c r="B664" s="17">
        <v>9605</v>
      </c>
    </row>
    <row r="665" spans="1:2" x14ac:dyDescent="0.25">
      <c r="A665" s="19" t="s">
        <v>24</v>
      </c>
      <c r="B665" s="17">
        <v>2239</v>
      </c>
    </row>
    <row r="666" spans="1:2" x14ac:dyDescent="0.25">
      <c r="A666" s="19" t="s">
        <v>20</v>
      </c>
      <c r="B666" s="17">
        <v>856</v>
      </c>
    </row>
    <row r="667" spans="1:2" x14ac:dyDescent="0.25">
      <c r="A667" s="19" t="s">
        <v>19</v>
      </c>
      <c r="B667" s="17">
        <v>613</v>
      </c>
    </row>
    <row r="668" spans="1:2" x14ac:dyDescent="0.25">
      <c r="A668" s="19" t="s">
        <v>26</v>
      </c>
      <c r="B668" s="17">
        <v>15</v>
      </c>
    </row>
    <row r="669" spans="1:2" x14ac:dyDescent="0.25">
      <c r="A669" s="19" t="s">
        <v>29</v>
      </c>
      <c r="B669" s="17">
        <v>7351</v>
      </c>
    </row>
    <row r="670" spans="1:2" x14ac:dyDescent="0.25">
      <c r="A670" s="19" t="s">
        <v>27</v>
      </c>
      <c r="B670" s="17">
        <v>7366</v>
      </c>
    </row>
    <row r="671" spans="1:2" x14ac:dyDescent="0.25">
      <c r="A671" s="19" t="s">
        <v>13</v>
      </c>
      <c r="B671" s="17">
        <v>44294</v>
      </c>
    </row>
    <row r="672" spans="1:2" x14ac:dyDescent="0.25">
      <c r="A672" s="19" t="s">
        <v>18</v>
      </c>
      <c r="B672" s="17">
        <v>8728</v>
      </c>
    </row>
    <row r="673" spans="1:2" x14ac:dyDescent="0.25">
      <c r="A673" s="19" t="s">
        <v>22</v>
      </c>
      <c r="B673" s="17">
        <v>631</v>
      </c>
    </row>
    <row r="674" spans="1:2" x14ac:dyDescent="0.25">
      <c r="A674" s="19" t="s">
        <v>17</v>
      </c>
      <c r="B674" s="17">
        <v>1657</v>
      </c>
    </row>
    <row r="675" spans="1:2" x14ac:dyDescent="0.25">
      <c r="A675" s="19" t="s">
        <v>16</v>
      </c>
      <c r="B675" s="17">
        <v>16427</v>
      </c>
    </row>
    <row r="676" spans="1:2" x14ac:dyDescent="0.25">
      <c r="A676" s="9">
        <v>2016</v>
      </c>
      <c r="B676" s="17">
        <v>623820</v>
      </c>
    </row>
    <row r="677" spans="1:2" x14ac:dyDescent="0.25">
      <c r="A677" s="11" t="s">
        <v>30</v>
      </c>
      <c r="B677" s="17">
        <v>474054</v>
      </c>
    </row>
    <row r="678" spans="1:2" x14ac:dyDescent="0.25">
      <c r="A678" s="19" t="s">
        <v>52</v>
      </c>
      <c r="B678" s="17">
        <v>9490</v>
      </c>
    </row>
    <row r="679" spans="1:2" x14ac:dyDescent="0.25">
      <c r="A679" s="19" t="s">
        <v>55</v>
      </c>
      <c r="B679" s="17">
        <v>307</v>
      </c>
    </row>
    <row r="680" spans="1:2" x14ac:dyDescent="0.25">
      <c r="A680" s="19" t="s">
        <v>65</v>
      </c>
      <c r="B680" s="17">
        <v>-11205</v>
      </c>
    </row>
    <row r="681" spans="1:2" x14ac:dyDescent="0.25">
      <c r="A681" s="19" t="s">
        <v>39</v>
      </c>
      <c r="B681" s="17">
        <v>2797</v>
      </c>
    </row>
    <row r="682" spans="1:2" x14ac:dyDescent="0.25">
      <c r="A682" s="19" t="s">
        <v>47</v>
      </c>
      <c r="B682" s="17">
        <v>3676</v>
      </c>
    </row>
    <row r="683" spans="1:2" x14ac:dyDescent="0.25">
      <c r="A683" s="19" t="s">
        <v>63</v>
      </c>
      <c r="B683" s="17">
        <v>14993</v>
      </c>
    </row>
    <row r="684" spans="1:2" x14ac:dyDescent="0.25">
      <c r="A684" s="19" t="s">
        <v>32</v>
      </c>
      <c r="B684" s="17">
        <v>8555</v>
      </c>
    </row>
    <row r="685" spans="1:2" x14ac:dyDescent="0.25">
      <c r="A685" s="19" t="s">
        <v>62</v>
      </c>
      <c r="B685" s="17">
        <v>1760</v>
      </c>
    </row>
    <row r="686" spans="1:2" x14ac:dyDescent="0.25">
      <c r="A686" s="19" t="s">
        <v>54</v>
      </c>
      <c r="B686" s="17">
        <v>3527</v>
      </c>
    </row>
    <row r="687" spans="1:2" x14ac:dyDescent="0.25">
      <c r="A687" s="19" t="s">
        <v>45</v>
      </c>
      <c r="B687" s="17">
        <v>0</v>
      </c>
    </row>
    <row r="688" spans="1:2" x14ac:dyDescent="0.25">
      <c r="A688" s="19" t="s">
        <v>61</v>
      </c>
      <c r="B688" s="17">
        <v>3753</v>
      </c>
    </row>
    <row r="689" spans="1:2" x14ac:dyDescent="0.25">
      <c r="A689" s="19" t="s">
        <v>68</v>
      </c>
      <c r="B689" s="17">
        <v>158</v>
      </c>
    </row>
    <row r="690" spans="1:2" x14ac:dyDescent="0.25">
      <c r="A690" s="19" t="s">
        <v>67</v>
      </c>
      <c r="B690" s="17">
        <v>23062</v>
      </c>
    </row>
    <row r="691" spans="1:2" x14ac:dyDescent="0.25">
      <c r="A691" s="19" t="s">
        <v>41</v>
      </c>
      <c r="B691" s="17">
        <v>16260</v>
      </c>
    </row>
    <row r="692" spans="1:2" x14ac:dyDescent="0.25">
      <c r="A692" s="19" t="s">
        <v>48</v>
      </c>
      <c r="B692" s="17">
        <v>10629</v>
      </c>
    </row>
    <row r="693" spans="1:2" x14ac:dyDescent="0.25">
      <c r="A693" s="19" t="s">
        <v>37</v>
      </c>
      <c r="B693" s="17">
        <v>2675</v>
      </c>
    </row>
    <row r="694" spans="1:2" x14ac:dyDescent="0.25">
      <c r="A694" s="19" t="s">
        <v>51</v>
      </c>
      <c r="B694" s="17">
        <v>0</v>
      </c>
    </row>
    <row r="695" spans="1:2" x14ac:dyDescent="0.25">
      <c r="A695" s="19" t="s">
        <v>56</v>
      </c>
      <c r="B695" s="17">
        <v>710</v>
      </c>
    </row>
    <row r="696" spans="1:2" x14ac:dyDescent="0.25">
      <c r="A696" s="19" t="s">
        <v>57</v>
      </c>
      <c r="B696" s="17">
        <v>0</v>
      </c>
    </row>
    <row r="697" spans="1:2" x14ac:dyDescent="0.25">
      <c r="A697" s="19" t="s">
        <v>53</v>
      </c>
      <c r="B697" s="17">
        <v>12498</v>
      </c>
    </row>
    <row r="698" spans="1:2" x14ac:dyDescent="0.25">
      <c r="A698" s="19" t="s">
        <v>59</v>
      </c>
      <c r="B698" s="17">
        <v>29684</v>
      </c>
    </row>
    <row r="699" spans="1:2" x14ac:dyDescent="0.25">
      <c r="A699" s="19" t="s">
        <v>35</v>
      </c>
      <c r="B699" s="17">
        <v>4051</v>
      </c>
    </row>
    <row r="700" spans="1:2" x14ac:dyDescent="0.25">
      <c r="A700" s="19" t="s">
        <v>43</v>
      </c>
      <c r="B700" s="17">
        <v>4248</v>
      </c>
    </row>
    <row r="701" spans="1:2" x14ac:dyDescent="0.25">
      <c r="A701" s="19" t="s">
        <v>49</v>
      </c>
      <c r="B701" s="17">
        <v>726</v>
      </c>
    </row>
    <row r="702" spans="1:2" x14ac:dyDescent="0.25">
      <c r="A702" s="19" t="s">
        <v>42</v>
      </c>
      <c r="B702" s="17">
        <v>989</v>
      </c>
    </row>
    <row r="703" spans="1:2" x14ac:dyDescent="0.25">
      <c r="A703" s="19" t="s">
        <v>60</v>
      </c>
      <c r="B703" s="17">
        <v>4081</v>
      </c>
    </row>
    <row r="704" spans="1:2" x14ac:dyDescent="0.25">
      <c r="A704" s="19" t="s">
        <v>38</v>
      </c>
      <c r="B704" s="17">
        <v>2481</v>
      </c>
    </row>
    <row r="705" spans="1:2" x14ac:dyDescent="0.25">
      <c r="A705" s="19" t="s">
        <v>44</v>
      </c>
      <c r="B705" s="17">
        <v>10635</v>
      </c>
    </row>
    <row r="706" spans="1:2" x14ac:dyDescent="0.25">
      <c r="A706" s="19" t="s">
        <v>64</v>
      </c>
      <c r="B706" s="17">
        <v>65502</v>
      </c>
    </row>
    <row r="707" spans="1:2" x14ac:dyDescent="0.25">
      <c r="A707" s="19" t="s">
        <v>33</v>
      </c>
      <c r="B707" s="17">
        <v>9595</v>
      </c>
    </row>
    <row r="708" spans="1:2" x14ac:dyDescent="0.25">
      <c r="A708" s="19" t="s">
        <v>50</v>
      </c>
      <c r="B708" s="17">
        <v>87270</v>
      </c>
    </row>
    <row r="709" spans="1:2" x14ac:dyDescent="0.25">
      <c r="A709" s="19" t="s">
        <v>34</v>
      </c>
      <c r="B709" s="17">
        <v>18150</v>
      </c>
    </row>
    <row r="710" spans="1:2" x14ac:dyDescent="0.25">
      <c r="A710" s="19" t="s">
        <v>40</v>
      </c>
      <c r="B710" s="17">
        <v>34010</v>
      </c>
    </row>
    <row r="711" spans="1:2" x14ac:dyDescent="0.25">
      <c r="A711" s="19" t="s">
        <v>58</v>
      </c>
      <c r="B711" s="17">
        <v>26532</v>
      </c>
    </row>
    <row r="712" spans="1:2" x14ac:dyDescent="0.25">
      <c r="A712" s="19" t="s">
        <v>69</v>
      </c>
      <c r="B712" s="17">
        <v>23220</v>
      </c>
    </row>
    <row r="713" spans="1:2" x14ac:dyDescent="0.25">
      <c r="A713" s="19" t="s">
        <v>70</v>
      </c>
      <c r="B713" s="17">
        <v>87270</v>
      </c>
    </row>
    <row r="714" spans="1:2" x14ac:dyDescent="0.25">
      <c r="A714" s="19" t="s">
        <v>36</v>
      </c>
      <c r="B714" s="17">
        <v>3856</v>
      </c>
    </row>
    <row r="715" spans="1:2" x14ac:dyDescent="0.25">
      <c r="A715" s="19" t="s">
        <v>46</v>
      </c>
      <c r="B715" s="17">
        <v>6097</v>
      </c>
    </row>
    <row r="716" spans="1:2" x14ac:dyDescent="0.25">
      <c r="A716" s="19" t="s">
        <v>66</v>
      </c>
      <c r="B716" s="17">
        <v>-47988</v>
      </c>
    </row>
    <row r="717" spans="1:2" x14ac:dyDescent="0.25">
      <c r="A717" s="11" t="s">
        <v>114</v>
      </c>
      <c r="B717" s="17">
        <v>10294</v>
      </c>
    </row>
    <row r="718" spans="1:2" x14ac:dyDescent="0.25">
      <c r="A718" s="19" t="s">
        <v>73</v>
      </c>
      <c r="B718" s="17">
        <v>0</v>
      </c>
    </row>
    <row r="719" spans="1:2" x14ac:dyDescent="0.25">
      <c r="A719" s="19" t="s">
        <v>85</v>
      </c>
      <c r="B719" s="17">
        <v>-838</v>
      </c>
    </row>
    <row r="720" spans="1:2" x14ac:dyDescent="0.25">
      <c r="A720" s="19" t="s">
        <v>101</v>
      </c>
      <c r="B720" s="17">
        <v>0</v>
      </c>
    </row>
    <row r="721" spans="1:2" x14ac:dyDescent="0.25">
      <c r="A721" s="19" t="s">
        <v>100</v>
      </c>
      <c r="B721" s="17">
        <v>0</v>
      </c>
    </row>
    <row r="722" spans="1:2" x14ac:dyDescent="0.25">
      <c r="A722" s="19" t="s">
        <v>98</v>
      </c>
      <c r="B722" s="17">
        <v>0</v>
      </c>
    </row>
    <row r="723" spans="1:2" x14ac:dyDescent="0.25">
      <c r="A723" s="19" t="s">
        <v>25</v>
      </c>
      <c r="B723" s="17">
        <v>6550</v>
      </c>
    </row>
    <row r="724" spans="1:2" x14ac:dyDescent="0.25">
      <c r="A724" s="19" t="s">
        <v>61</v>
      </c>
      <c r="B724" s="17">
        <v>-856</v>
      </c>
    </row>
    <row r="725" spans="1:2" x14ac:dyDescent="0.25">
      <c r="A725" s="19" t="s">
        <v>72</v>
      </c>
      <c r="B725" s="17">
        <v>1787</v>
      </c>
    </row>
    <row r="726" spans="1:2" x14ac:dyDescent="0.25">
      <c r="A726" s="19" t="s">
        <v>95</v>
      </c>
      <c r="B726" s="17">
        <v>-6043</v>
      </c>
    </row>
    <row r="727" spans="1:2" x14ac:dyDescent="0.25">
      <c r="A727" s="19" t="s">
        <v>99</v>
      </c>
      <c r="B727" s="17">
        <v>-6</v>
      </c>
    </row>
    <row r="728" spans="1:2" x14ac:dyDescent="0.25">
      <c r="A728" s="19" t="s">
        <v>75</v>
      </c>
      <c r="B728" s="17">
        <v>-449</v>
      </c>
    </row>
    <row r="729" spans="1:2" x14ac:dyDescent="0.25">
      <c r="A729" s="19" t="s">
        <v>76</v>
      </c>
      <c r="B729" s="17">
        <v>158</v>
      </c>
    </row>
    <row r="730" spans="1:2" x14ac:dyDescent="0.25">
      <c r="A730" s="19" t="s">
        <v>91</v>
      </c>
      <c r="B730" s="17">
        <v>27281</v>
      </c>
    </row>
    <row r="731" spans="1:2" x14ac:dyDescent="0.25">
      <c r="A731" s="19" t="s">
        <v>93</v>
      </c>
      <c r="B731" s="17">
        <v>1434</v>
      </c>
    </row>
    <row r="732" spans="1:2" x14ac:dyDescent="0.25">
      <c r="A732" s="19" t="s">
        <v>102</v>
      </c>
      <c r="B732" s="17">
        <v>0</v>
      </c>
    </row>
    <row r="733" spans="1:2" x14ac:dyDescent="0.25">
      <c r="A733" s="19" t="s">
        <v>97</v>
      </c>
      <c r="B733" s="17">
        <v>-6545</v>
      </c>
    </row>
    <row r="734" spans="1:2" x14ac:dyDescent="0.25">
      <c r="A734" s="19" t="s">
        <v>90</v>
      </c>
      <c r="B734" s="17">
        <v>-999</v>
      </c>
    </row>
    <row r="735" spans="1:2" x14ac:dyDescent="0.25">
      <c r="A735" s="19" t="s">
        <v>81</v>
      </c>
      <c r="B735" s="17">
        <v>8796</v>
      </c>
    </row>
    <row r="736" spans="1:2" x14ac:dyDescent="0.25">
      <c r="A736" s="19" t="s">
        <v>80</v>
      </c>
      <c r="B736" s="17">
        <v>-221</v>
      </c>
    </row>
    <row r="737" spans="1:2" x14ac:dyDescent="0.25">
      <c r="A737" s="19" t="s">
        <v>27</v>
      </c>
      <c r="B737" s="17">
        <v>6550</v>
      </c>
    </row>
    <row r="738" spans="1:2" x14ac:dyDescent="0.25">
      <c r="A738" s="19" t="s">
        <v>103</v>
      </c>
      <c r="B738" s="17">
        <v>1246</v>
      </c>
    </row>
    <row r="739" spans="1:2" x14ac:dyDescent="0.25">
      <c r="A739" s="19" t="s">
        <v>96</v>
      </c>
      <c r="B739" s="17">
        <v>79</v>
      </c>
    </row>
    <row r="740" spans="1:2" x14ac:dyDescent="0.25">
      <c r="A740" s="19" t="s">
        <v>89</v>
      </c>
      <c r="B740" s="17">
        <v>-209</v>
      </c>
    </row>
    <row r="741" spans="1:2" x14ac:dyDescent="0.25">
      <c r="A741" s="19" t="s">
        <v>79</v>
      </c>
      <c r="B741" s="17">
        <v>-224</v>
      </c>
    </row>
    <row r="742" spans="1:2" x14ac:dyDescent="0.25">
      <c r="A742" s="19" t="s">
        <v>17</v>
      </c>
      <c r="B742" s="17">
        <v>647</v>
      </c>
    </row>
    <row r="743" spans="1:2" x14ac:dyDescent="0.25">
      <c r="A743" s="19" t="s">
        <v>78</v>
      </c>
      <c r="B743" s="17">
        <v>0</v>
      </c>
    </row>
    <row r="744" spans="1:2" x14ac:dyDescent="0.25">
      <c r="A744" s="19" t="s">
        <v>92</v>
      </c>
      <c r="B744" s="17">
        <v>-25615</v>
      </c>
    </row>
    <row r="745" spans="1:2" x14ac:dyDescent="0.25">
      <c r="A745" s="19" t="s">
        <v>86</v>
      </c>
      <c r="B745" s="17">
        <v>1035</v>
      </c>
    </row>
    <row r="746" spans="1:2" x14ac:dyDescent="0.25">
      <c r="A746" s="19" t="s">
        <v>84</v>
      </c>
      <c r="B746" s="17">
        <v>16624</v>
      </c>
    </row>
    <row r="747" spans="1:2" x14ac:dyDescent="0.25">
      <c r="A747" s="19" t="s">
        <v>88</v>
      </c>
      <c r="B747" s="17">
        <v>150</v>
      </c>
    </row>
    <row r="748" spans="1:2" x14ac:dyDescent="0.25">
      <c r="A748" s="19" t="s">
        <v>83</v>
      </c>
      <c r="B748" s="17">
        <v>-15499</v>
      </c>
    </row>
    <row r="749" spans="1:2" x14ac:dyDescent="0.25">
      <c r="A749" s="19" t="s">
        <v>87</v>
      </c>
      <c r="B749" s="17">
        <v>-2262</v>
      </c>
    </row>
    <row r="750" spans="1:2" x14ac:dyDescent="0.25">
      <c r="A750" s="19" t="s">
        <v>82</v>
      </c>
      <c r="B750" s="17">
        <v>0</v>
      </c>
    </row>
    <row r="751" spans="1:2" x14ac:dyDescent="0.25">
      <c r="A751" s="19" t="s">
        <v>94</v>
      </c>
      <c r="B751" s="17">
        <v>-3681</v>
      </c>
    </row>
    <row r="752" spans="1:2" x14ac:dyDescent="0.25">
      <c r="A752" s="19" t="s">
        <v>77</v>
      </c>
      <c r="B752" s="17">
        <v>1146</v>
      </c>
    </row>
    <row r="753" spans="1:2" x14ac:dyDescent="0.25">
      <c r="A753" s="19" t="s">
        <v>74</v>
      </c>
      <c r="B753" s="17">
        <v>258</v>
      </c>
    </row>
    <row r="754" spans="1:2" x14ac:dyDescent="0.25">
      <c r="A754" s="11" t="s">
        <v>109</v>
      </c>
      <c r="B754" s="17">
        <v>139472</v>
      </c>
    </row>
    <row r="755" spans="1:2" x14ac:dyDescent="0.25">
      <c r="A755" s="19" t="s">
        <v>25</v>
      </c>
      <c r="B755" s="17">
        <v>6550</v>
      </c>
    </row>
    <row r="756" spans="1:2" x14ac:dyDescent="0.25">
      <c r="A756" s="19" t="s">
        <v>14</v>
      </c>
      <c r="B756" s="17">
        <v>16465</v>
      </c>
    </row>
    <row r="757" spans="1:2" x14ac:dyDescent="0.25">
      <c r="A757" s="19" t="s">
        <v>21</v>
      </c>
      <c r="B757" s="17">
        <v>835</v>
      </c>
    </row>
    <row r="758" spans="1:2" x14ac:dyDescent="0.25">
      <c r="A758" s="19" t="s">
        <v>15</v>
      </c>
      <c r="B758" s="17">
        <v>25398</v>
      </c>
    </row>
    <row r="759" spans="1:2" x14ac:dyDescent="0.25">
      <c r="A759" s="19" t="s">
        <v>28</v>
      </c>
      <c r="B759" s="17">
        <v>0</v>
      </c>
    </row>
    <row r="760" spans="1:2" x14ac:dyDescent="0.25">
      <c r="A760" s="19" t="s">
        <v>23</v>
      </c>
      <c r="B760" s="17">
        <v>8136</v>
      </c>
    </row>
    <row r="761" spans="1:2" x14ac:dyDescent="0.25">
      <c r="A761" s="19" t="s">
        <v>24</v>
      </c>
      <c r="B761" s="17">
        <v>1586</v>
      </c>
    </row>
    <row r="762" spans="1:2" x14ac:dyDescent="0.25">
      <c r="A762" s="19" t="s">
        <v>20</v>
      </c>
      <c r="B762" s="17">
        <v>733</v>
      </c>
    </row>
    <row r="763" spans="1:2" x14ac:dyDescent="0.25">
      <c r="A763" s="19" t="s">
        <v>19</v>
      </c>
      <c r="B763" s="17">
        <v>642</v>
      </c>
    </row>
    <row r="764" spans="1:2" x14ac:dyDescent="0.25">
      <c r="A764" s="19" t="s">
        <v>26</v>
      </c>
      <c r="B764" s="17">
        <v>23</v>
      </c>
    </row>
    <row r="765" spans="1:2" x14ac:dyDescent="0.25">
      <c r="A765" s="19" t="s">
        <v>29</v>
      </c>
      <c r="B765" s="17">
        <v>6527</v>
      </c>
    </row>
    <row r="766" spans="1:2" x14ac:dyDescent="0.25">
      <c r="A766" s="19" t="s">
        <v>27</v>
      </c>
      <c r="B766" s="17">
        <v>6550</v>
      </c>
    </row>
    <row r="767" spans="1:2" x14ac:dyDescent="0.25">
      <c r="A767" s="19" t="s">
        <v>13</v>
      </c>
      <c r="B767" s="17">
        <v>41863</v>
      </c>
    </row>
    <row r="768" spans="1:2" x14ac:dyDescent="0.25">
      <c r="A768" s="19" t="s">
        <v>18</v>
      </c>
      <c r="B768" s="17">
        <v>8626</v>
      </c>
    </row>
    <row r="769" spans="1:2" x14ac:dyDescent="0.25">
      <c r="A769" s="19" t="s">
        <v>22</v>
      </c>
      <c r="B769" s="17">
        <v>-1234</v>
      </c>
    </row>
    <row r="770" spans="1:2" x14ac:dyDescent="0.25">
      <c r="A770" s="19" t="s">
        <v>17</v>
      </c>
      <c r="B770" s="17">
        <v>1510</v>
      </c>
    </row>
    <row r="771" spans="1:2" x14ac:dyDescent="0.25">
      <c r="A771" s="19" t="s">
        <v>16</v>
      </c>
      <c r="B771" s="17">
        <v>15262</v>
      </c>
    </row>
    <row r="772" spans="1:2" x14ac:dyDescent="0.25">
      <c r="A772" s="9">
        <v>2017</v>
      </c>
      <c r="B772" s="17">
        <v>570191</v>
      </c>
    </row>
    <row r="773" spans="1:2" x14ac:dyDescent="0.25">
      <c r="A773" s="11" t="s">
        <v>30</v>
      </c>
      <c r="B773" s="17">
        <v>466730</v>
      </c>
    </row>
    <row r="774" spans="1:2" x14ac:dyDescent="0.25">
      <c r="A774" s="19" t="s">
        <v>52</v>
      </c>
      <c r="B774" s="17">
        <v>8748</v>
      </c>
    </row>
    <row r="775" spans="1:2" x14ac:dyDescent="0.25">
      <c r="A775" s="19" t="s">
        <v>55</v>
      </c>
      <c r="B775" s="17">
        <v>410</v>
      </c>
    </row>
    <row r="776" spans="1:2" x14ac:dyDescent="0.25">
      <c r="A776" s="19" t="s">
        <v>65</v>
      </c>
      <c r="B776" s="17">
        <v>-10305</v>
      </c>
    </row>
    <row r="777" spans="1:2" x14ac:dyDescent="0.25">
      <c r="A777" s="19" t="s">
        <v>39</v>
      </c>
      <c r="B777" s="17">
        <v>7548</v>
      </c>
    </row>
    <row r="778" spans="1:2" x14ac:dyDescent="0.25">
      <c r="A778" s="19" t="s">
        <v>47</v>
      </c>
      <c r="B778" s="17">
        <v>138</v>
      </c>
    </row>
    <row r="779" spans="1:2" x14ac:dyDescent="0.25">
      <c r="A779" s="19" t="s">
        <v>63</v>
      </c>
      <c r="B779" s="17">
        <v>15864</v>
      </c>
    </row>
    <row r="780" spans="1:2" x14ac:dyDescent="0.25">
      <c r="A780" s="19" t="s">
        <v>32</v>
      </c>
      <c r="B780" s="17">
        <v>6006</v>
      </c>
    </row>
    <row r="781" spans="1:2" x14ac:dyDescent="0.25">
      <c r="A781" s="19" t="s">
        <v>62</v>
      </c>
      <c r="B781" s="17">
        <v>1760</v>
      </c>
    </row>
    <row r="782" spans="1:2" x14ac:dyDescent="0.25">
      <c r="A782" s="19" t="s">
        <v>54</v>
      </c>
      <c r="B782" s="17">
        <v>3298</v>
      </c>
    </row>
    <row r="783" spans="1:2" x14ac:dyDescent="0.25">
      <c r="A783" s="19" t="s">
        <v>45</v>
      </c>
      <c r="B783" s="17">
        <v>330</v>
      </c>
    </row>
    <row r="784" spans="1:2" x14ac:dyDescent="0.25">
      <c r="A784" s="19" t="s">
        <v>61</v>
      </c>
      <c r="B784" s="17">
        <v>2522</v>
      </c>
    </row>
    <row r="785" spans="1:2" x14ac:dyDescent="0.25">
      <c r="A785" s="19" t="s">
        <v>68</v>
      </c>
      <c r="B785" s="17">
        <v>1905</v>
      </c>
    </row>
    <row r="786" spans="1:2" x14ac:dyDescent="0.25">
      <c r="A786" s="19" t="s">
        <v>67</v>
      </c>
      <c r="B786" s="17">
        <v>17072</v>
      </c>
    </row>
    <row r="787" spans="1:2" x14ac:dyDescent="0.25">
      <c r="A787" s="19" t="s">
        <v>41</v>
      </c>
      <c r="B787" s="17">
        <v>20856</v>
      </c>
    </row>
    <row r="788" spans="1:2" x14ac:dyDescent="0.25">
      <c r="A788" s="19" t="s">
        <v>48</v>
      </c>
      <c r="B788" s="17">
        <v>9401</v>
      </c>
    </row>
    <row r="789" spans="1:2" x14ac:dyDescent="0.25">
      <c r="A789" s="19" t="s">
        <v>37</v>
      </c>
      <c r="B789" s="17">
        <v>2655</v>
      </c>
    </row>
    <row r="790" spans="1:2" x14ac:dyDescent="0.25">
      <c r="A790" s="19" t="s">
        <v>51</v>
      </c>
      <c r="B790" s="17">
        <v>0</v>
      </c>
    </row>
    <row r="791" spans="1:2" x14ac:dyDescent="0.25">
      <c r="A791" s="19" t="s">
        <v>56</v>
      </c>
      <c r="B791" s="17">
        <v>37</v>
      </c>
    </row>
    <row r="792" spans="1:2" x14ac:dyDescent="0.25">
      <c r="A792" s="19" t="s">
        <v>57</v>
      </c>
      <c r="B792" s="17">
        <v>1496</v>
      </c>
    </row>
    <row r="793" spans="1:2" x14ac:dyDescent="0.25">
      <c r="A793" s="19" t="s">
        <v>53</v>
      </c>
      <c r="B793" s="17">
        <v>13205</v>
      </c>
    </row>
    <row r="794" spans="1:2" x14ac:dyDescent="0.25">
      <c r="A794" s="19" t="s">
        <v>59</v>
      </c>
      <c r="B794" s="17">
        <v>31182</v>
      </c>
    </row>
    <row r="795" spans="1:2" x14ac:dyDescent="0.25">
      <c r="A795" s="19" t="s">
        <v>35</v>
      </c>
      <c r="B795" s="17">
        <v>5317</v>
      </c>
    </row>
    <row r="796" spans="1:2" x14ac:dyDescent="0.25">
      <c r="A796" s="19" t="s">
        <v>43</v>
      </c>
      <c r="B796" s="17">
        <v>4230</v>
      </c>
    </row>
    <row r="797" spans="1:2" x14ac:dyDescent="0.25">
      <c r="A797" s="19" t="s">
        <v>49</v>
      </c>
      <c r="B797" s="17">
        <v>368</v>
      </c>
    </row>
    <row r="798" spans="1:2" x14ac:dyDescent="0.25">
      <c r="A798" s="19" t="s">
        <v>42</v>
      </c>
      <c r="B798" s="17">
        <v>1096</v>
      </c>
    </row>
    <row r="799" spans="1:2" x14ac:dyDescent="0.25">
      <c r="A799" s="19" t="s">
        <v>60</v>
      </c>
      <c r="B799" s="17">
        <v>8021</v>
      </c>
    </row>
    <row r="800" spans="1:2" x14ac:dyDescent="0.25">
      <c r="A800" s="19" t="s">
        <v>38</v>
      </c>
      <c r="B800" s="17">
        <v>2000</v>
      </c>
    </row>
    <row r="801" spans="1:2" x14ac:dyDescent="0.25">
      <c r="A801" s="19" t="s">
        <v>44</v>
      </c>
      <c r="B801" s="17">
        <v>8203</v>
      </c>
    </row>
    <row r="802" spans="1:2" x14ac:dyDescent="0.25">
      <c r="A802" s="19" t="s">
        <v>64</v>
      </c>
      <c r="B802" s="17">
        <v>60430</v>
      </c>
    </row>
    <row r="803" spans="1:2" x14ac:dyDescent="0.25">
      <c r="A803" s="19" t="s">
        <v>33</v>
      </c>
      <c r="B803" s="17">
        <v>9352</v>
      </c>
    </row>
    <row r="804" spans="1:2" x14ac:dyDescent="0.25">
      <c r="A804" s="19" t="s">
        <v>50</v>
      </c>
      <c r="B804" s="17">
        <v>87896</v>
      </c>
    </row>
    <row r="805" spans="1:2" x14ac:dyDescent="0.25">
      <c r="A805" s="19" t="s">
        <v>34</v>
      </c>
      <c r="B805" s="17">
        <v>15358</v>
      </c>
    </row>
    <row r="806" spans="1:2" x14ac:dyDescent="0.25">
      <c r="A806" s="19" t="s">
        <v>40</v>
      </c>
      <c r="B806" s="17">
        <v>36545</v>
      </c>
    </row>
    <row r="807" spans="1:2" x14ac:dyDescent="0.25">
      <c r="A807" s="19" t="s">
        <v>58</v>
      </c>
      <c r="B807" s="17">
        <v>27194</v>
      </c>
    </row>
    <row r="808" spans="1:2" x14ac:dyDescent="0.25">
      <c r="A808" s="19" t="s">
        <v>69</v>
      </c>
      <c r="B808" s="17">
        <v>18977</v>
      </c>
    </row>
    <row r="809" spans="1:2" x14ac:dyDescent="0.25">
      <c r="A809" s="19" t="s">
        <v>70</v>
      </c>
      <c r="B809" s="17">
        <v>87896</v>
      </c>
    </row>
    <row r="810" spans="1:2" x14ac:dyDescent="0.25">
      <c r="A810" s="19" t="s">
        <v>36</v>
      </c>
      <c r="B810" s="17">
        <v>3667</v>
      </c>
    </row>
    <row r="811" spans="1:2" x14ac:dyDescent="0.25">
      <c r="A811" s="19" t="s">
        <v>46</v>
      </c>
      <c r="B811" s="17">
        <v>6729</v>
      </c>
    </row>
    <row r="812" spans="1:2" x14ac:dyDescent="0.25">
      <c r="A812" s="19" t="s">
        <v>66</v>
      </c>
      <c r="B812" s="17">
        <v>-50677</v>
      </c>
    </row>
    <row r="813" spans="1:2" x14ac:dyDescent="0.25">
      <c r="A813" s="11" t="s">
        <v>114</v>
      </c>
      <c r="B813" s="17">
        <v>-6490</v>
      </c>
    </row>
    <row r="814" spans="1:2" x14ac:dyDescent="0.25">
      <c r="A814" s="19" t="s">
        <v>73</v>
      </c>
      <c r="B814" s="17">
        <v>-101</v>
      </c>
    </row>
    <row r="815" spans="1:2" x14ac:dyDescent="0.25">
      <c r="A815" s="19" t="s">
        <v>85</v>
      </c>
      <c r="B815" s="17">
        <v>-3809</v>
      </c>
    </row>
    <row r="816" spans="1:2" x14ac:dyDescent="0.25">
      <c r="A816" s="19" t="s">
        <v>101</v>
      </c>
      <c r="B816" s="17">
        <v>-38</v>
      </c>
    </row>
    <row r="817" spans="1:2" x14ac:dyDescent="0.25">
      <c r="A817" s="19" t="s">
        <v>100</v>
      </c>
      <c r="B817" s="17">
        <v>-58</v>
      </c>
    </row>
    <row r="818" spans="1:2" x14ac:dyDescent="0.25">
      <c r="A818" s="19" t="s">
        <v>98</v>
      </c>
      <c r="B818" s="17">
        <v>111</v>
      </c>
    </row>
    <row r="819" spans="1:2" x14ac:dyDescent="0.25">
      <c r="A819" s="19" t="s">
        <v>25</v>
      </c>
      <c r="B819" s="17">
        <v>1283</v>
      </c>
    </row>
    <row r="820" spans="1:2" x14ac:dyDescent="0.25">
      <c r="A820" s="19" t="s">
        <v>61</v>
      </c>
      <c r="B820" s="17">
        <v>-1256</v>
      </c>
    </row>
    <row r="821" spans="1:2" x14ac:dyDescent="0.25">
      <c r="A821" s="19" t="s">
        <v>72</v>
      </c>
      <c r="B821" s="17">
        <v>1260</v>
      </c>
    </row>
    <row r="822" spans="1:2" x14ac:dyDescent="0.25">
      <c r="A822" s="19" t="s">
        <v>95</v>
      </c>
      <c r="B822" s="17">
        <v>-6320</v>
      </c>
    </row>
    <row r="823" spans="1:2" x14ac:dyDescent="0.25">
      <c r="A823" s="19" t="s">
        <v>99</v>
      </c>
      <c r="B823" s="17">
        <v>241</v>
      </c>
    </row>
    <row r="824" spans="1:2" x14ac:dyDescent="0.25">
      <c r="A824" s="19" t="s">
        <v>75</v>
      </c>
      <c r="B824" s="17">
        <v>-628</v>
      </c>
    </row>
    <row r="825" spans="1:2" x14ac:dyDescent="0.25">
      <c r="A825" s="19" t="s">
        <v>76</v>
      </c>
      <c r="B825" s="17">
        <v>281</v>
      </c>
    </row>
    <row r="826" spans="1:2" x14ac:dyDescent="0.25">
      <c r="A826" s="19" t="s">
        <v>91</v>
      </c>
      <c r="B826" s="17">
        <v>29857</v>
      </c>
    </row>
    <row r="827" spans="1:2" x14ac:dyDescent="0.25">
      <c r="A827" s="19" t="s">
        <v>93</v>
      </c>
      <c r="B827" s="17">
        <v>1595</v>
      </c>
    </row>
    <row r="828" spans="1:2" x14ac:dyDescent="0.25">
      <c r="A828" s="19" t="s">
        <v>102</v>
      </c>
      <c r="B828" s="17">
        <v>15</v>
      </c>
    </row>
    <row r="829" spans="1:2" x14ac:dyDescent="0.25">
      <c r="A829" s="19" t="s">
        <v>97</v>
      </c>
      <c r="B829" s="17">
        <v>-7409</v>
      </c>
    </row>
    <row r="830" spans="1:2" x14ac:dyDescent="0.25">
      <c r="A830" s="19" t="s">
        <v>90</v>
      </c>
      <c r="B830" s="17">
        <v>-2254</v>
      </c>
    </row>
    <row r="831" spans="1:2" x14ac:dyDescent="0.25">
      <c r="A831" s="19" t="s">
        <v>81</v>
      </c>
      <c r="B831" s="17">
        <v>6930</v>
      </c>
    </row>
    <row r="832" spans="1:2" x14ac:dyDescent="0.25">
      <c r="A832" s="19" t="s">
        <v>80</v>
      </c>
      <c r="B832" s="17">
        <v>3464</v>
      </c>
    </row>
    <row r="833" spans="1:2" x14ac:dyDescent="0.25">
      <c r="A833" s="19" t="s">
        <v>27</v>
      </c>
      <c r="B833" s="17">
        <v>1182</v>
      </c>
    </row>
    <row r="834" spans="1:2" x14ac:dyDescent="0.25">
      <c r="A834" s="19" t="s">
        <v>103</v>
      </c>
      <c r="B834" s="17">
        <v>-2477</v>
      </c>
    </row>
    <row r="835" spans="1:2" x14ac:dyDescent="0.25">
      <c r="A835" s="19" t="s">
        <v>96</v>
      </c>
      <c r="B835" s="17">
        <v>-91</v>
      </c>
    </row>
    <row r="836" spans="1:2" x14ac:dyDescent="0.25">
      <c r="A836" s="19" t="s">
        <v>89</v>
      </c>
      <c r="B836" s="17">
        <v>-93</v>
      </c>
    </row>
    <row r="837" spans="1:2" x14ac:dyDescent="0.25">
      <c r="A837" s="19" t="s">
        <v>79</v>
      </c>
      <c r="B837" s="17">
        <v>-269</v>
      </c>
    </row>
    <row r="838" spans="1:2" x14ac:dyDescent="0.25">
      <c r="A838" s="19" t="s">
        <v>17</v>
      </c>
      <c r="B838" s="17">
        <v>1218</v>
      </c>
    </row>
    <row r="839" spans="1:2" x14ac:dyDescent="0.25">
      <c r="A839" s="19" t="s">
        <v>78</v>
      </c>
      <c r="B839" s="17">
        <v>0</v>
      </c>
    </row>
    <row r="840" spans="1:2" x14ac:dyDescent="0.25">
      <c r="A840" s="19" t="s">
        <v>92</v>
      </c>
      <c r="B840" s="17">
        <v>-28768</v>
      </c>
    </row>
    <row r="841" spans="1:2" x14ac:dyDescent="0.25">
      <c r="A841" s="19" t="s">
        <v>86</v>
      </c>
      <c r="B841" s="17">
        <v>3821</v>
      </c>
    </row>
    <row r="842" spans="1:2" x14ac:dyDescent="0.25">
      <c r="A842" s="19" t="s">
        <v>84</v>
      </c>
      <c r="B842" s="17">
        <v>16694</v>
      </c>
    </row>
    <row r="843" spans="1:2" x14ac:dyDescent="0.25">
      <c r="A843" s="19" t="s">
        <v>88</v>
      </c>
      <c r="B843" s="17">
        <v>104</v>
      </c>
    </row>
    <row r="844" spans="1:2" x14ac:dyDescent="0.25">
      <c r="A844" s="19" t="s">
        <v>83</v>
      </c>
      <c r="B844" s="17">
        <v>-17296</v>
      </c>
    </row>
    <row r="845" spans="1:2" x14ac:dyDescent="0.25">
      <c r="A845" s="19" t="s">
        <v>87</v>
      </c>
      <c r="B845" s="17">
        <v>-1675</v>
      </c>
    </row>
    <row r="846" spans="1:2" x14ac:dyDescent="0.25">
      <c r="A846" s="19" t="s">
        <v>82</v>
      </c>
      <c r="B846" s="17">
        <v>0</v>
      </c>
    </row>
    <row r="847" spans="1:2" x14ac:dyDescent="0.25">
      <c r="A847" s="19" t="s">
        <v>94</v>
      </c>
      <c r="B847" s="17">
        <v>-3682</v>
      </c>
    </row>
    <row r="848" spans="1:2" x14ac:dyDescent="0.25">
      <c r="A848" s="19" t="s">
        <v>77</v>
      </c>
      <c r="B848" s="17">
        <v>1459</v>
      </c>
    </row>
    <row r="849" spans="1:2" x14ac:dyDescent="0.25">
      <c r="A849" s="19" t="s">
        <v>74</v>
      </c>
      <c r="B849" s="17">
        <v>219</v>
      </c>
    </row>
    <row r="850" spans="1:2" x14ac:dyDescent="0.25">
      <c r="A850" s="11" t="s">
        <v>109</v>
      </c>
      <c r="B850" s="17">
        <v>109951</v>
      </c>
    </row>
    <row r="851" spans="1:2" x14ac:dyDescent="0.25">
      <c r="A851" s="19" t="s">
        <v>25</v>
      </c>
      <c r="B851" s="17">
        <v>1283</v>
      </c>
    </row>
    <row r="852" spans="1:2" x14ac:dyDescent="0.25">
      <c r="A852" s="19" t="s">
        <v>14</v>
      </c>
      <c r="B852" s="17">
        <v>13255</v>
      </c>
    </row>
    <row r="853" spans="1:2" x14ac:dyDescent="0.25">
      <c r="A853" s="19" t="s">
        <v>21</v>
      </c>
      <c r="B853" s="17">
        <v>1071</v>
      </c>
    </row>
    <row r="854" spans="1:2" x14ac:dyDescent="0.25">
      <c r="A854" s="19" t="s">
        <v>15</v>
      </c>
      <c r="B854" s="17">
        <v>22155</v>
      </c>
    </row>
    <row r="855" spans="1:2" x14ac:dyDescent="0.25">
      <c r="A855" s="19" t="s">
        <v>28</v>
      </c>
      <c r="B855" s="17">
        <v>101</v>
      </c>
    </row>
    <row r="856" spans="1:2" x14ac:dyDescent="0.25">
      <c r="A856" s="19" t="s">
        <v>23</v>
      </c>
      <c r="B856" s="17">
        <v>6742</v>
      </c>
    </row>
    <row r="857" spans="1:2" x14ac:dyDescent="0.25">
      <c r="A857" s="19" t="s">
        <v>24</v>
      </c>
      <c r="B857" s="17">
        <v>5560</v>
      </c>
    </row>
    <row r="858" spans="1:2" x14ac:dyDescent="0.25">
      <c r="A858" s="19" t="s">
        <v>20</v>
      </c>
      <c r="B858" s="17">
        <v>841</v>
      </c>
    </row>
    <row r="859" spans="1:2" x14ac:dyDescent="0.25">
      <c r="A859" s="19" t="s">
        <v>19</v>
      </c>
      <c r="B859" s="17">
        <v>677</v>
      </c>
    </row>
    <row r="860" spans="1:2" x14ac:dyDescent="0.25">
      <c r="A860" s="19" t="s">
        <v>26</v>
      </c>
      <c r="B860" s="17">
        <v>35</v>
      </c>
    </row>
    <row r="861" spans="1:2" x14ac:dyDescent="0.25">
      <c r="A861" s="19" t="s">
        <v>29</v>
      </c>
      <c r="B861" s="17">
        <v>1248</v>
      </c>
    </row>
    <row r="862" spans="1:2" x14ac:dyDescent="0.25">
      <c r="A862" s="19" t="s">
        <v>27</v>
      </c>
      <c r="B862" s="17">
        <v>1182</v>
      </c>
    </row>
    <row r="863" spans="1:2" x14ac:dyDescent="0.25">
      <c r="A863" s="19" t="s">
        <v>13</v>
      </c>
      <c r="B863" s="17">
        <v>35410</v>
      </c>
    </row>
    <row r="864" spans="1:2" x14ac:dyDescent="0.25">
      <c r="A864" s="19" t="s">
        <v>18</v>
      </c>
      <c r="B864" s="17">
        <v>7599</v>
      </c>
    </row>
    <row r="865" spans="1:2" x14ac:dyDescent="0.25">
      <c r="A865" s="19" t="s">
        <v>22</v>
      </c>
      <c r="B865" s="17">
        <v>-1764</v>
      </c>
    </row>
    <row r="866" spans="1:2" x14ac:dyDescent="0.25">
      <c r="A866" s="19" t="s">
        <v>17</v>
      </c>
      <c r="B866" s="17">
        <v>1902</v>
      </c>
    </row>
    <row r="867" spans="1:2" x14ac:dyDescent="0.25">
      <c r="A867" s="19" t="s">
        <v>16</v>
      </c>
      <c r="B867" s="17">
        <v>12654</v>
      </c>
    </row>
    <row r="868" spans="1:2" x14ac:dyDescent="0.25">
      <c r="A868" s="9">
        <v>2018</v>
      </c>
      <c r="B868" s="17">
        <v>487006</v>
      </c>
    </row>
    <row r="869" spans="1:2" x14ac:dyDescent="0.25">
      <c r="A869" s="11" t="s">
        <v>30</v>
      </c>
      <c r="B869" s="17">
        <v>356495</v>
      </c>
    </row>
    <row r="870" spans="1:2" x14ac:dyDescent="0.25">
      <c r="A870" s="19" t="s">
        <v>52</v>
      </c>
      <c r="B870" s="17">
        <v>0</v>
      </c>
    </row>
    <row r="871" spans="1:2" x14ac:dyDescent="0.25">
      <c r="A871" s="19" t="s">
        <v>55</v>
      </c>
      <c r="B871" s="17">
        <v>4997</v>
      </c>
    </row>
    <row r="872" spans="1:2" x14ac:dyDescent="0.25">
      <c r="A872" s="19" t="s">
        <v>65</v>
      </c>
      <c r="B872" s="17">
        <v>63234</v>
      </c>
    </row>
    <row r="873" spans="1:2" x14ac:dyDescent="0.25">
      <c r="A873" s="19" t="s">
        <v>39</v>
      </c>
      <c r="B873" s="17">
        <v>8508</v>
      </c>
    </row>
    <row r="874" spans="1:2" x14ac:dyDescent="0.25">
      <c r="A874" s="19" t="s">
        <v>47</v>
      </c>
      <c r="B874" s="17">
        <v>6682</v>
      </c>
    </row>
    <row r="875" spans="1:2" x14ac:dyDescent="0.25">
      <c r="A875" s="19" t="s">
        <v>63</v>
      </c>
      <c r="B875" s="17">
        <v>1760</v>
      </c>
    </row>
    <row r="876" spans="1:2" x14ac:dyDescent="0.25">
      <c r="A876" s="19" t="s">
        <v>32</v>
      </c>
      <c r="B876" s="17">
        <v>0</v>
      </c>
    </row>
    <row r="877" spans="1:2" x14ac:dyDescent="0.25">
      <c r="A877" s="19" t="s">
        <v>62</v>
      </c>
      <c r="B877" s="17">
        <v>1933</v>
      </c>
    </row>
    <row r="878" spans="1:2" x14ac:dyDescent="0.25">
      <c r="A878" s="19" t="s">
        <v>54</v>
      </c>
      <c r="B878" s="17">
        <v>13194</v>
      </c>
    </row>
    <row r="879" spans="1:2" x14ac:dyDescent="0.25">
      <c r="A879" s="19" t="s">
        <v>45</v>
      </c>
      <c r="B879" s="17">
        <v>8232</v>
      </c>
    </row>
    <row r="880" spans="1:2" x14ac:dyDescent="0.25">
      <c r="A880" s="19" t="s">
        <v>61</v>
      </c>
      <c r="B880" s="17">
        <v>7638</v>
      </c>
    </row>
    <row r="881" spans="1:2" x14ac:dyDescent="0.25">
      <c r="A881" s="19" t="s">
        <v>68</v>
      </c>
      <c r="B881" s="17">
        <v>16981</v>
      </c>
    </row>
    <row r="882" spans="1:2" x14ac:dyDescent="0.25">
      <c r="A882" s="19" t="s">
        <v>67</v>
      </c>
      <c r="B882" s="17">
        <v>-51719</v>
      </c>
    </row>
    <row r="883" spans="1:2" x14ac:dyDescent="0.25">
      <c r="A883" s="19" t="s">
        <v>41</v>
      </c>
      <c r="B883" s="17">
        <v>30634</v>
      </c>
    </row>
    <row r="884" spans="1:2" x14ac:dyDescent="0.25">
      <c r="A884" s="19" t="s">
        <v>48</v>
      </c>
      <c r="B884" s="17">
        <v>51</v>
      </c>
    </row>
    <row r="885" spans="1:2" x14ac:dyDescent="0.25">
      <c r="A885" s="19" t="s">
        <v>37</v>
      </c>
      <c r="B885" s="17">
        <v>3396</v>
      </c>
    </row>
    <row r="886" spans="1:2" x14ac:dyDescent="0.25">
      <c r="A886" s="19" t="s">
        <v>51</v>
      </c>
      <c r="B886" s="17">
        <v>83216</v>
      </c>
    </row>
    <row r="887" spans="1:2" x14ac:dyDescent="0.25">
      <c r="A887" s="19" t="s">
        <v>56</v>
      </c>
      <c r="B887" s="17">
        <v>378</v>
      </c>
    </row>
    <row r="888" spans="1:2" x14ac:dyDescent="0.25">
      <c r="A888" s="19" t="s">
        <v>57</v>
      </c>
      <c r="B888" s="17">
        <v>0</v>
      </c>
    </row>
    <row r="889" spans="1:2" x14ac:dyDescent="0.25">
      <c r="A889" s="19" t="s">
        <v>53</v>
      </c>
      <c r="B889" s="17">
        <v>8932</v>
      </c>
    </row>
    <row r="890" spans="1:2" x14ac:dyDescent="0.25">
      <c r="A890" s="19" t="s">
        <v>59</v>
      </c>
      <c r="B890" s="17">
        <v>29223</v>
      </c>
    </row>
    <row r="891" spans="1:2" x14ac:dyDescent="0.25">
      <c r="A891" s="19" t="s">
        <v>35</v>
      </c>
      <c r="B891" s="17">
        <v>10951</v>
      </c>
    </row>
    <row r="892" spans="1:2" x14ac:dyDescent="0.25">
      <c r="A892" s="19" t="s">
        <v>43</v>
      </c>
      <c r="B892" s="17">
        <v>867</v>
      </c>
    </row>
    <row r="893" spans="1:2" x14ac:dyDescent="0.25">
      <c r="A893" s="19" t="s">
        <v>49</v>
      </c>
      <c r="B893" s="17">
        <v>10263</v>
      </c>
    </row>
    <row r="894" spans="1:2" x14ac:dyDescent="0.25">
      <c r="A894" s="19" t="s">
        <v>42</v>
      </c>
      <c r="B894" s="17">
        <v>19407</v>
      </c>
    </row>
    <row r="895" spans="1:2" x14ac:dyDescent="0.25">
      <c r="A895" s="19" t="s">
        <v>60</v>
      </c>
      <c r="B895" s="17">
        <v>25364</v>
      </c>
    </row>
    <row r="896" spans="1:2" x14ac:dyDescent="0.25">
      <c r="A896" s="19" t="s">
        <v>38</v>
      </c>
      <c r="B896" s="17">
        <v>2766</v>
      </c>
    </row>
    <row r="897" spans="1:2" x14ac:dyDescent="0.25">
      <c r="A897" s="19" t="s">
        <v>44</v>
      </c>
      <c r="B897" s="17">
        <v>4139</v>
      </c>
    </row>
    <row r="898" spans="1:2" x14ac:dyDescent="0.25">
      <c r="A898" s="19" t="s">
        <v>64</v>
      </c>
      <c r="B898" s="17">
        <v>16520</v>
      </c>
    </row>
    <row r="899" spans="1:2" x14ac:dyDescent="0.25">
      <c r="A899" s="19" t="s">
        <v>33</v>
      </c>
      <c r="B899" s="17">
        <v>8926</v>
      </c>
    </row>
    <row r="900" spans="1:2" x14ac:dyDescent="0.25">
      <c r="A900" s="19" t="s">
        <v>50</v>
      </c>
      <c r="B900" s="17">
        <v>274</v>
      </c>
    </row>
    <row r="901" spans="1:2" x14ac:dyDescent="0.25">
      <c r="A901" s="19" t="s">
        <v>34</v>
      </c>
      <c r="B901" s="17">
        <v>2025</v>
      </c>
    </row>
    <row r="902" spans="1:2" x14ac:dyDescent="0.25">
      <c r="A902" s="19" t="s">
        <v>40</v>
      </c>
      <c r="B902" s="17">
        <v>0</v>
      </c>
    </row>
    <row r="903" spans="1:2" x14ac:dyDescent="0.25">
      <c r="A903" s="19" t="s">
        <v>58</v>
      </c>
      <c r="B903" s="17">
        <v>1722</v>
      </c>
    </row>
    <row r="904" spans="1:2" x14ac:dyDescent="0.25">
      <c r="A904" s="19" t="s">
        <v>69</v>
      </c>
      <c r="B904" s="17">
        <v>2077</v>
      </c>
    </row>
    <row r="905" spans="1:2" x14ac:dyDescent="0.25">
      <c r="A905" s="19" t="s">
        <v>70</v>
      </c>
      <c r="B905" s="17">
        <v>19058</v>
      </c>
    </row>
    <row r="906" spans="1:2" x14ac:dyDescent="0.25">
      <c r="A906" s="19" t="s">
        <v>36</v>
      </c>
      <c r="B906" s="17">
        <v>5013</v>
      </c>
    </row>
    <row r="907" spans="1:2" x14ac:dyDescent="0.25">
      <c r="A907" s="19" t="s">
        <v>46</v>
      </c>
      <c r="B907" s="17">
        <v>2667</v>
      </c>
    </row>
    <row r="908" spans="1:2" x14ac:dyDescent="0.25">
      <c r="A908" s="19" t="s">
        <v>66</v>
      </c>
      <c r="B908" s="17">
        <v>-12814</v>
      </c>
    </row>
    <row r="909" spans="1:2" x14ac:dyDescent="0.25">
      <c r="A909" s="11" t="s">
        <v>114</v>
      </c>
      <c r="B909" s="17">
        <v>15824</v>
      </c>
    </row>
    <row r="910" spans="1:2" x14ac:dyDescent="0.25">
      <c r="A910" s="19" t="s">
        <v>73</v>
      </c>
      <c r="B910" s="17">
        <v>251</v>
      </c>
    </row>
    <row r="911" spans="1:2" x14ac:dyDescent="0.25">
      <c r="A911" s="19" t="s">
        <v>85</v>
      </c>
      <c r="B911" s="17">
        <v>-1040</v>
      </c>
    </row>
    <row r="912" spans="1:2" x14ac:dyDescent="0.25">
      <c r="A912" s="19" t="s">
        <v>101</v>
      </c>
      <c r="B912" s="17">
        <v>205</v>
      </c>
    </row>
    <row r="913" spans="1:2" x14ac:dyDescent="0.25">
      <c r="A913" s="19" t="s">
        <v>100</v>
      </c>
      <c r="B913" s="17">
        <v>-421</v>
      </c>
    </row>
    <row r="914" spans="1:2" x14ac:dyDescent="0.25">
      <c r="A914" s="19" t="s">
        <v>98</v>
      </c>
      <c r="B914" s="17">
        <v>307</v>
      </c>
    </row>
    <row r="915" spans="1:2" x14ac:dyDescent="0.25">
      <c r="A915" s="19" t="s">
        <v>25</v>
      </c>
      <c r="B915" s="17">
        <v>6476</v>
      </c>
    </row>
    <row r="916" spans="1:2" x14ac:dyDescent="0.25">
      <c r="A916" s="19" t="s">
        <v>61</v>
      </c>
      <c r="B916" s="17">
        <v>-450</v>
      </c>
    </row>
    <row r="917" spans="1:2" x14ac:dyDescent="0.25">
      <c r="A917" s="19" t="s">
        <v>72</v>
      </c>
      <c r="B917" s="17">
        <v>1086</v>
      </c>
    </row>
    <row r="918" spans="1:2" x14ac:dyDescent="0.25">
      <c r="A918" s="19" t="s">
        <v>95</v>
      </c>
      <c r="B918" s="17">
        <v>-6644</v>
      </c>
    </row>
    <row r="919" spans="1:2" x14ac:dyDescent="0.25">
      <c r="A919" s="19" t="s">
        <v>99</v>
      </c>
      <c r="B919" s="17">
        <v>-262</v>
      </c>
    </row>
    <row r="920" spans="1:2" x14ac:dyDescent="0.25">
      <c r="A920" s="19" t="s">
        <v>75</v>
      </c>
      <c r="B920" s="17">
        <v>-457</v>
      </c>
    </row>
    <row r="921" spans="1:2" x14ac:dyDescent="0.25">
      <c r="A921" s="19" t="s">
        <v>76</v>
      </c>
      <c r="B921" s="17">
        <v>-38</v>
      </c>
    </row>
    <row r="922" spans="1:2" x14ac:dyDescent="0.25">
      <c r="A922" s="19" t="s">
        <v>91</v>
      </c>
      <c r="B922" s="17">
        <v>27339</v>
      </c>
    </row>
    <row r="923" spans="1:2" x14ac:dyDescent="0.25">
      <c r="A923" s="19" t="s">
        <v>93</v>
      </c>
      <c r="B923" s="17">
        <v>1476</v>
      </c>
    </row>
    <row r="924" spans="1:2" x14ac:dyDescent="0.25">
      <c r="A924" s="19" t="s">
        <v>102</v>
      </c>
      <c r="B924" s="17">
        <v>91</v>
      </c>
    </row>
    <row r="925" spans="1:2" x14ac:dyDescent="0.25">
      <c r="A925" s="19" t="s">
        <v>97</v>
      </c>
      <c r="B925" s="17">
        <v>-10552</v>
      </c>
    </row>
    <row r="926" spans="1:2" x14ac:dyDescent="0.25">
      <c r="A926" s="19" t="s">
        <v>90</v>
      </c>
      <c r="B926" s="17">
        <v>6348</v>
      </c>
    </row>
    <row r="927" spans="1:2" x14ac:dyDescent="0.25">
      <c r="A927" s="19" t="s">
        <v>81</v>
      </c>
      <c r="B927" s="17">
        <v>7320</v>
      </c>
    </row>
    <row r="928" spans="1:2" x14ac:dyDescent="0.25">
      <c r="A928" s="19" t="s">
        <v>80</v>
      </c>
      <c r="B928" s="17">
        <v>-1202</v>
      </c>
    </row>
    <row r="929" spans="1:2" x14ac:dyDescent="0.25">
      <c r="A929" s="19" t="s">
        <v>27</v>
      </c>
      <c r="B929" s="17">
        <v>6727</v>
      </c>
    </row>
    <row r="930" spans="1:2" x14ac:dyDescent="0.25">
      <c r="A930" s="19" t="s">
        <v>103</v>
      </c>
      <c r="B930" s="17">
        <v>2945</v>
      </c>
    </row>
    <row r="931" spans="1:2" x14ac:dyDescent="0.25">
      <c r="A931" s="19" t="s">
        <v>96</v>
      </c>
      <c r="B931" s="17">
        <v>-243</v>
      </c>
    </row>
    <row r="932" spans="1:2" x14ac:dyDescent="0.25">
      <c r="A932" s="19" t="s">
        <v>89</v>
      </c>
      <c r="B932" s="17">
        <v>-60</v>
      </c>
    </row>
    <row r="933" spans="1:2" x14ac:dyDescent="0.25">
      <c r="A933" s="19" t="s">
        <v>79</v>
      </c>
      <c r="B933" s="17">
        <v>682</v>
      </c>
    </row>
    <row r="934" spans="1:2" x14ac:dyDescent="0.25">
      <c r="A934" s="19" t="s">
        <v>17</v>
      </c>
      <c r="B934" s="17">
        <v>558</v>
      </c>
    </row>
    <row r="935" spans="1:2" x14ac:dyDescent="0.25">
      <c r="A935" s="19" t="s">
        <v>78</v>
      </c>
      <c r="B935" s="17">
        <v>0</v>
      </c>
    </row>
    <row r="936" spans="1:2" x14ac:dyDescent="0.25">
      <c r="A936" s="19" t="s">
        <v>92</v>
      </c>
      <c r="B936" s="17">
        <v>-30568</v>
      </c>
    </row>
    <row r="937" spans="1:2" x14ac:dyDescent="0.25">
      <c r="A937" s="19" t="s">
        <v>86</v>
      </c>
      <c r="B937" s="17">
        <v>1362</v>
      </c>
    </row>
    <row r="938" spans="1:2" x14ac:dyDescent="0.25">
      <c r="A938" s="19" t="s">
        <v>84</v>
      </c>
      <c r="B938" s="17">
        <v>14977</v>
      </c>
    </row>
    <row r="939" spans="1:2" x14ac:dyDescent="0.25">
      <c r="A939" s="19" t="s">
        <v>88</v>
      </c>
      <c r="B939" s="17">
        <v>245</v>
      </c>
    </row>
    <row r="940" spans="1:2" x14ac:dyDescent="0.25">
      <c r="A940" s="19" t="s">
        <v>83</v>
      </c>
      <c r="B940" s="17">
        <v>-7789</v>
      </c>
    </row>
    <row r="941" spans="1:2" x14ac:dyDescent="0.25">
      <c r="A941" s="19" t="s">
        <v>87</v>
      </c>
      <c r="B941" s="17">
        <v>-1347</v>
      </c>
    </row>
    <row r="942" spans="1:2" x14ac:dyDescent="0.25">
      <c r="A942" s="19" t="s">
        <v>82</v>
      </c>
      <c r="B942" s="17">
        <v>0</v>
      </c>
    </row>
    <row r="943" spans="1:2" x14ac:dyDescent="0.25">
      <c r="A943" s="19" t="s">
        <v>94</v>
      </c>
      <c r="B943" s="17">
        <v>-1912</v>
      </c>
    </row>
    <row r="944" spans="1:2" x14ac:dyDescent="0.25">
      <c r="A944" s="19" t="s">
        <v>77</v>
      </c>
      <c r="B944" s="17">
        <v>189</v>
      </c>
    </row>
    <row r="945" spans="1:2" x14ac:dyDescent="0.25">
      <c r="A945" s="19" t="s">
        <v>74</v>
      </c>
      <c r="B945" s="17">
        <v>225</v>
      </c>
    </row>
    <row r="946" spans="1:2" x14ac:dyDescent="0.25">
      <c r="A946" s="11" t="s">
        <v>109</v>
      </c>
      <c r="B946" s="17">
        <v>114687</v>
      </c>
    </row>
    <row r="947" spans="1:2" x14ac:dyDescent="0.25">
      <c r="A947" s="19" t="s">
        <v>25</v>
      </c>
      <c r="B947" s="17">
        <v>6476</v>
      </c>
    </row>
    <row r="948" spans="1:2" x14ac:dyDescent="0.25">
      <c r="A948" s="19" t="s">
        <v>14</v>
      </c>
      <c r="B948" s="17">
        <v>11770</v>
      </c>
    </row>
    <row r="949" spans="1:2" x14ac:dyDescent="0.25">
      <c r="A949" s="19" t="s">
        <v>21</v>
      </c>
      <c r="B949" s="17">
        <v>1008</v>
      </c>
    </row>
    <row r="950" spans="1:2" x14ac:dyDescent="0.25">
      <c r="A950" s="19" t="s">
        <v>15</v>
      </c>
      <c r="B950" s="17">
        <v>20086</v>
      </c>
    </row>
    <row r="951" spans="1:2" x14ac:dyDescent="0.25">
      <c r="A951" s="19" t="s">
        <v>28</v>
      </c>
      <c r="B951" s="17">
        <v>-251</v>
      </c>
    </row>
    <row r="952" spans="1:2" x14ac:dyDescent="0.25">
      <c r="A952" s="19" t="s">
        <v>23</v>
      </c>
      <c r="B952" s="17">
        <v>8350</v>
      </c>
    </row>
    <row r="953" spans="1:2" x14ac:dyDescent="0.25">
      <c r="A953" s="19" t="s">
        <v>24</v>
      </c>
      <c r="B953" s="17">
        <v>1623</v>
      </c>
    </row>
    <row r="954" spans="1:2" x14ac:dyDescent="0.25">
      <c r="A954" s="19" t="s">
        <v>20</v>
      </c>
      <c r="B954" s="17">
        <v>919</v>
      </c>
    </row>
    <row r="955" spans="1:2" x14ac:dyDescent="0.25">
      <c r="A955" s="19" t="s">
        <v>19</v>
      </c>
      <c r="B955" s="17">
        <v>682</v>
      </c>
    </row>
    <row r="956" spans="1:2" x14ac:dyDescent="0.25">
      <c r="A956" s="19" t="s">
        <v>26</v>
      </c>
      <c r="B956" s="17">
        <v>42</v>
      </c>
    </row>
    <row r="957" spans="1:2" x14ac:dyDescent="0.25">
      <c r="A957" s="19" t="s">
        <v>29</v>
      </c>
      <c r="B957" s="17">
        <v>6434</v>
      </c>
    </row>
    <row r="958" spans="1:2" x14ac:dyDescent="0.25">
      <c r="A958" s="19" t="s">
        <v>27</v>
      </c>
      <c r="B958" s="17">
        <v>6727</v>
      </c>
    </row>
    <row r="959" spans="1:2" x14ac:dyDescent="0.25">
      <c r="A959" s="19" t="s">
        <v>13</v>
      </c>
      <c r="B959" s="17">
        <v>31856</v>
      </c>
    </row>
    <row r="960" spans="1:2" x14ac:dyDescent="0.25">
      <c r="A960" s="19" t="s">
        <v>18</v>
      </c>
      <c r="B960" s="17">
        <v>8700</v>
      </c>
    </row>
    <row r="961" spans="1:2" x14ac:dyDescent="0.25">
      <c r="A961" s="19" t="s">
        <v>22</v>
      </c>
      <c r="B961" s="17">
        <v>-1121</v>
      </c>
    </row>
    <row r="962" spans="1:2" x14ac:dyDescent="0.25">
      <c r="A962" s="19" t="s">
        <v>17</v>
      </c>
      <c r="B962" s="17">
        <v>1079</v>
      </c>
    </row>
    <row r="963" spans="1:2" x14ac:dyDescent="0.25">
      <c r="A963" s="19" t="s">
        <v>16</v>
      </c>
      <c r="B963" s="17">
        <v>10307</v>
      </c>
    </row>
    <row r="964" spans="1:2" x14ac:dyDescent="0.25">
      <c r="A964" s="10" t="s">
        <v>111</v>
      </c>
      <c r="B964" s="18">
        <v>5838688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BF91-1FF1-4FA0-BBFE-C03D4DE860D2}">
  <dimension ref="A1:I931"/>
  <sheetViews>
    <sheetView topLeftCell="A877" workbookViewId="0">
      <selection activeCell="D905" sqref="D905"/>
    </sheetView>
  </sheetViews>
  <sheetFormatPr defaultRowHeight="15" x14ac:dyDescent="0.25"/>
  <cols>
    <col min="1" max="1" width="22.5703125" bestFit="1" customWidth="1"/>
    <col min="2" max="2" width="104.42578125" bestFit="1" customWidth="1"/>
    <col min="4" max="4" width="10.28515625" customWidth="1"/>
    <col min="8" max="8" width="22.140625" bestFit="1" customWidth="1"/>
    <col min="9" max="9" width="71.28515625" bestFit="1" customWidth="1"/>
  </cols>
  <sheetData>
    <row r="1" spans="1:9" x14ac:dyDescent="0.25">
      <c r="A1" s="13" t="s">
        <v>113</v>
      </c>
      <c r="B1" s="13" t="s">
        <v>107</v>
      </c>
      <c r="C1" s="13" t="s">
        <v>105</v>
      </c>
      <c r="D1" s="13" t="s">
        <v>106</v>
      </c>
      <c r="H1" s="12" t="s">
        <v>115</v>
      </c>
    </row>
    <row r="2" spans="1:9" x14ac:dyDescent="0.25">
      <c r="A2" s="13" t="s">
        <v>109</v>
      </c>
      <c r="B2" s="13" t="s">
        <v>13</v>
      </c>
      <c r="C2" s="13">
        <v>2009</v>
      </c>
      <c r="D2" s="14">
        <f>'COCA COLA CO'!C5</f>
        <v>30990</v>
      </c>
      <c r="H2" s="12" t="s">
        <v>109</v>
      </c>
      <c r="I2" s="20" t="s">
        <v>29</v>
      </c>
    </row>
    <row r="3" spans="1:9" x14ac:dyDescent="0.25">
      <c r="A3" s="13" t="s">
        <v>109</v>
      </c>
      <c r="B3" s="13" t="s">
        <v>14</v>
      </c>
      <c r="C3" s="13">
        <v>2009</v>
      </c>
      <c r="D3" s="14">
        <f>'COCA COLA CO'!C6</f>
        <v>11088</v>
      </c>
      <c r="H3" s="12" t="s">
        <v>30</v>
      </c>
      <c r="I3" s="12" t="s">
        <v>116</v>
      </c>
    </row>
    <row r="4" spans="1:9" x14ac:dyDescent="0.25">
      <c r="A4" s="13" t="s">
        <v>109</v>
      </c>
      <c r="B4" s="13" t="s">
        <v>15</v>
      </c>
      <c r="C4" s="13">
        <v>2009</v>
      </c>
      <c r="D4" s="14">
        <f>'COCA COLA CO'!C7</f>
        <v>19902</v>
      </c>
      <c r="H4" s="12" t="s">
        <v>108</v>
      </c>
      <c r="I4" s="20" t="s">
        <v>103</v>
      </c>
    </row>
    <row r="5" spans="1:9" x14ac:dyDescent="0.25">
      <c r="A5" s="13" t="s">
        <v>109</v>
      </c>
      <c r="B5" s="13" t="s">
        <v>16</v>
      </c>
      <c r="C5" s="13">
        <v>2009</v>
      </c>
      <c r="D5" s="14">
        <f>'COCA COLA CO'!C8</f>
        <v>11358</v>
      </c>
    </row>
    <row r="6" spans="1:9" x14ac:dyDescent="0.25">
      <c r="A6" s="13" t="s">
        <v>109</v>
      </c>
      <c r="B6" s="13" t="s">
        <v>17</v>
      </c>
      <c r="C6" s="13">
        <v>2009</v>
      </c>
      <c r="D6" s="14">
        <f>'COCA COLA CO'!C9</f>
        <v>313</v>
      </c>
    </row>
    <row r="7" spans="1:9" x14ac:dyDescent="0.25">
      <c r="A7" s="13" t="s">
        <v>109</v>
      </c>
      <c r="B7" s="13" t="s">
        <v>18</v>
      </c>
      <c r="C7" s="13">
        <v>2009</v>
      </c>
      <c r="D7" s="14">
        <f>'COCA COLA CO'!C10</f>
        <v>8231</v>
      </c>
    </row>
    <row r="8" spans="1:9" x14ac:dyDescent="0.25">
      <c r="A8" s="13" t="s">
        <v>109</v>
      </c>
      <c r="B8" s="13" t="s">
        <v>19</v>
      </c>
      <c r="C8" s="13">
        <v>2009</v>
      </c>
      <c r="D8" s="14">
        <f>'COCA COLA CO'!C11</f>
        <v>249</v>
      </c>
    </row>
    <row r="9" spans="1:9" x14ac:dyDescent="0.25">
      <c r="A9" s="13" t="s">
        <v>109</v>
      </c>
      <c r="B9" s="13" t="s">
        <v>20</v>
      </c>
      <c r="C9" s="13">
        <v>2009</v>
      </c>
      <c r="D9" s="14">
        <f>'COCA COLA CO'!C12</f>
        <v>355</v>
      </c>
    </row>
    <row r="10" spans="1:9" x14ac:dyDescent="0.25">
      <c r="A10" s="13" t="s">
        <v>109</v>
      </c>
      <c r="B10" s="13" t="s">
        <v>21</v>
      </c>
      <c r="C10" s="13">
        <v>2009</v>
      </c>
      <c r="D10" s="14">
        <f>'COCA COLA CO'!C13</f>
        <v>781</v>
      </c>
    </row>
    <row r="11" spans="1:9" x14ac:dyDescent="0.25">
      <c r="A11" s="13" t="s">
        <v>109</v>
      </c>
      <c r="B11" s="13" t="s">
        <v>22</v>
      </c>
      <c r="C11" s="13">
        <v>2009</v>
      </c>
      <c r="D11" s="14">
        <f>'COCA COLA CO'!C14</f>
        <v>40</v>
      </c>
    </row>
    <row r="12" spans="1:9" x14ac:dyDescent="0.25">
      <c r="A12" s="13" t="s">
        <v>109</v>
      </c>
      <c r="B12" s="13" t="s">
        <v>23</v>
      </c>
      <c r="C12" s="13">
        <v>2009</v>
      </c>
      <c r="D12" s="14">
        <f>'COCA COLA CO'!C15</f>
        <v>8946</v>
      </c>
    </row>
    <row r="13" spans="1:9" x14ac:dyDescent="0.25">
      <c r="A13" s="13" t="s">
        <v>109</v>
      </c>
      <c r="B13" s="13" t="s">
        <v>24</v>
      </c>
      <c r="C13" s="13">
        <v>2009</v>
      </c>
      <c r="D13" s="14">
        <f>'COCA COLA CO'!C16</f>
        <v>2040</v>
      </c>
    </row>
    <row r="14" spans="1:9" x14ac:dyDescent="0.25">
      <c r="A14" s="13" t="s">
        <v>109</v>
      </c>
      <c r="B14" s="13" t="s">
        <v>25</v>
      </c>
      <c r="C14" s="13">
        <v>2009</v>
      </c>
      <c r="D14" s="14">
        <f>'COCA COLA CO'!C17</f>
        <v>6906</v>
      </c>
    </row>
    <row r="15" spans="1:9" x14ac:dyDescent="0.25">
      <c r="A15" s="13" t="s">
        <v>109</v>
      </c>
      <c r="B15" s="13" t="s">
        <v>26</v>
      </c>
      <c r="C15" s="13">
        <v>2009</v>
      </c>
      <c r="D15" s="14">
        <f>'COCA COLA CO'!C18</f>
        <v>82</v>
      </c>
    </row>
    <row r="16" spans="1:9" x14ac:dyDescent="0.25">
      <c r="A16" s="13" t="s">
        <v>109</v>
      </c>
      <c r="B16" s="13" t="s">
        <v>27</v>
      </c>
      <c r="C16" s="13">
        <v>2009</v>
      </c>
      <c r="D16" s="14">
        <f>'COCA COLA CO'!C19</f>
        <v>0</v>
      </c>
    </row>
    <row r="17" spans="1:4" x14ac:dyDescent="0.25">
      <c r="A17" s="13" t="s">
        <v>109</v>
      </c>
      <c r="B17" s="13" t="s">
        <v>28</v>
      </c>
      <c r="C17" s="13">
        <v>2009</v>
      </c>
      <c r="D17" s="14">
        <f>'COCA COLA CO'!C20</f>
        <v>0</v>
      </c>
    </row>
    <row r="18" spans="1:4" x14ac:dyDescent="0.25">
      <c r="A18" s="13" t="s">
        <v>109</v>
      </c>
      <c r="B18" s="13" t="s">
        <v>29</v>
      </c>
      <c r="C18" s="13">
        <v>2009</v>
      </c>
      <c r="D18" s="14">
        <f>'COCA COLA CO'!C21</f>
        <v>6824</v>
      </c>
    </row>
    <row r="19" spans="1:4" x14ac:dyDescent="0.25">
      <c r="A19" s="13" t="s">
        <v>109</v>
      </c>
      <c r="B19" s="13" t="s">
        <v>13</v>
      </c>
      <c r="C19" s="13">
        <v>2010</v>
      </c>
      <c r="D19" s="14">
        <f>'COCA COLA CO'!D5</f>
        <v>35119</v>
      </c>
    </row>
    <row r="20" spans="1:4" x14ac:dyDescent="0.25">
      <c r="A20" s="13" t="s">
        <v>109</v>
      </c>
      <c r="B20" s="13" t="s">
        <v>14</v>
      </c>
      <c r="C20" s="13">
        <v>2010</v>
      </c>
      <c r="D20" s="14">
        <f>'COCA COLA CO'!D6</f>
        <v>12693</v>
      </c>
    </row>
    <row r="21" spans="1:4" x14ac:dyDescent="0.25">
      <c r="A21" s="13" t="s">
        <v>109</v>
      </c>
      <c r="B21" s="13" t="s">
        <v>15</v>
      </c>
      <c r="C21" s="13">
        <v>2010</v>
      </c>
      <c r="D21" s="14">
        <f>'COCA COLA CO'!D7</f>
        <v>22426</v>
      </c>
    </row>
    <row r="22" spans="1:4" x14ac:dyDescent="0.25">
      <c r="A22" s="13" t="s">
        <v>109</v>
      </c>
      <c r="B22" s="13" t="s">
        <v>16</v>
      </c>
      <c r="C22" s="13">
        <v>2010</v>
      </c>
      <c r="D22" s="14">
        <f>'COCA COLA CO'!D8</f>
        <v>13194</v>
      </c>
    </row>
    <row r="23" spans="1:4" x14ac:dyDescent="0.25">
      <c r="A23" s="13" t="s">
        <v>109</v>
      </c>
      <c r="B23" s="13" t="s">
        <v>17</v>
      </c>
      <c r="C23" s="13">
        <v>2010</v>
      </c>
      <c r="D23" s="14">
        <f>'COCA COLA CO'!D9</f>
        <v>819</v>
      </c>
    </row>
    <row r="24" spans="1:4" x14ac:dyDescent="0.25">
      <c r="A24" s="13" t="s">
        <v>109</v>
      </c>
      <c r="B24" s="13" t="s">
        <v>18</v>
      </c>
      <c r="C24" s="13">
        <v>2010</v>
      </c>
      <c r="D24" s="14">
        <f>'COCA COLA CO'!D10</f>
        <v>8413</v>
      </c>
    </row>
    <row r="25" spans="1:4" x14ac:dyDescent="0.25">
      <c r="A25" s="13" t="s">
        <v>109</v>
      </c>
      <c r="B25" s="13" t="s">
        <v>19</v>
      </c>
      <c r="C25" s="13">
        <v>2010</v>
      </c>
      <c r="D25" s="14">
        <f>'COCA COLA CO'!D11</f>
        <v>317</v>
      </c>
    </row>
    <row r="26" spans="1:4" x14ac:dyDescent="0.25">
      <c r="A26" s="13" t="s">
        <v>109</v>
      </c>
      <c r="B26" s="13" t="s">
        <v>20</v>
      </c>
      <c r="C26" s="13">
        <v>2010</v>
      </c>
      <c r="D26" s="14">
        <f>'COCA COLA CO'!D12</f>
        <v>733</v>
      </c>
    </row>
    <row r="27" spans="1:4" x14ac:dyDescent="0.25">
      <c r="A27" s="13" t="s">
        <v>109</v>
      </c>
      <c r="B27" s="13" t="s">
        <v>21</v>
      </c>
      <c r="C27" s="13">
        <v>2010</v>
      </c>
      <c r="D27" s="14">
        <f>'COCA COLA CO'!D13</f>
        <v>1025</v>
      </c>
    </row>
    <row r="28" spans="1:4" x14ac:dyDescent="0.25">
      <c r="A28" s="13" t="s">
        <v>109</v>
      </c>
      <c r="B28" s="13" t="s">
        <v>22</v>
      </c>
      <c r="C28" s="13">
        <v>2010</v>
      </c>
      <c r="D28" s="14">
        <f>'COCA COLA CO'!D14</f>
        <v>5185</v>
      </c>
    </row>
    <row r="29" spans="1:4" x14ac:dyDescent="0.25">
      <c r="A29" s="13" t="s">
        <v>109</v>
      </c>
      <c r="B29" s="13" t="s">
        <v>23</v>
      </c>
      <c r="C29" s="13">
        <v>2010</v>
      </c>
      <c r="D29" s="14">
        <f>'COCA COLA CO'!D15</f>
        <v>14207</v>
      </c>
    </row>
    <row r="30" spans="1:4" x14ac:dyDescent="0.25">
      <c r="A30" s="13" t="s">
        <v>109</v>
      </c>
      <c r="B30" s="13" t="s">
        <v>24</v>
      </c>
      <c r="C30" s="13">
        <v>2010</v>
      </c>
      <c r="D30" s="14">
        <f>'COCA COLA CO'!D16</f>
        <v>2370</v>
      </c>
    </row>
    <row r="31" spans="1:4" x14ac:dyDescent="0.25">
      <c r="A31" s="13" t="s">
        <v>109</v>
      </c>
      <c r="B31" s="13" t="s">
        <v>25</v>
      </c>
      <c r="C31" s="13">
        <v>2010</v>
      </c>
      <c r="D31" s="14">
        <f>'COCA COLA CO'!D17</f>
        <v>11837</v>
      </c>
    </row>
    <row r="32" spans="1:4" x14ac:dyDescent="0.25">
      <c r="A32" s="13" t="s">
        <v>109</v>
      </c>
      <c r="B32" s="13" t="s">
        <v>26</v>
      </c>
      <c r="C32" s="13">
        <v>2010</v>
      </c>
      <c r="D32" s="14">
        <f>'COCA COLA CO'!D18</f>
        <v>50</v>
      </c>
    </row>
    <row r="33" spans="1:4" x14ac:dyDescent="0.25">
      <c r="A33" s="13" t="s">
        <v>109</v>
      </c>
      <c r="B33" s="13" t="s">
        <v>27</v>
      </c>
      <c r="C33" s="13">
        <v>2010</v>
      </c>
      <c r="D33" s="14">
        <f>'COCA COLA CO'!D19</f>
        <v>0</v>
      </c>
    </row>
    <row r="34" spans="1:4" x14ac:dyDescent="0.25">
      <c r="A34" s="13" t="s">
        <v>109</v>
      </c>
      <c r="B34" s="13" t="s">
        <v>28</v>
      </c>
      <c r="C34" s="13">
        <v>2010</v>
      </c>
      <c r="D34" s="14">
        <f>'COCA COLA CO'!D20</f>
        <v>0</v>
      </c>
    </row>
    <row r="35" spans="1:4" x14ac:dyDescent="0.25">
      <c r="A35" s="13" t="s">
        <v>109</v>
      </c>
      <c r="B35" s="13" t="s">
        <v>29</v>
      </c>
      <c r="C35" s="13">
        <v>2010</v>
      </c>
      <c r="D35" s="14">
        <f>'COCA COLA CO'!D21</f>
        <v>11787</v>
      </c>
    </row>
    <row r="36" spans="1:4" x14ac:dyDescent="0.25">
      <c r="A36" s="13" t="s">
        <v>109</v>
      </c>
      <c r="B36" s="13" t="s">
        <v>13</v>
      </c>
      <c r="C36" s="13">
        <v>2011</v>
      </c>
      <c r="D36" s="14">
        <f>'COCA COLA CO'!E5</f>
        <v>46542</v>
      </c>
    </row>
    <row r="37" spans="1:4" x14ac:dyDescent="0.25">
      <c r="A37" s="13" t="s">
        <v>109</v>
      </c>
      <c r="B37" s="13" t="s">
        <v>14</v>
      </c>
      <c r="C37" s="13">
        <v>2011</v>
      </c>
      <c r="D37" s="14">
        <f>'COCA COLA CO'!E6</f>
        <v>18215</v>
      </c>
    </row>
    <row r="38" spans="1:4" x14ac:dyDescent="0.25">
      <c r="A38" s="13" t="s">
        <v>109</v>
      </c>
      <c r="B38" s="13" t="s">
        <v>15</v>
      </c>
      <c r="C38" s="13">
        <v>2011</v>
      </c>
      <c r="D38" s="14">
        <f>'COCA COLA CO'!E7</f>
        <v>28327</v>
      </c>
    </row>
    <row r="39" spans="1:4" x14ac:dyDescent="0.25">
      <c r="A39" s="13" t="s">
        <v>109</v>
      </c>
      <c r="B39" s="13" t="s">
        <v>16</v>
      </c>
      <c r="C39" s="13">
        <v>2011</v>
      </c>
      <c r="D39" s="14">
        <f>'COCA COLA CO'!E8</f>
        <v>17422</v>
      </c>
    </row>
    <row r="40" spans="1:4" x14ac:dyDescent="0.25">
      <c r="A40" s="13" t="s">
        <v>109</v>
      </c>
      <c r="B40" s="13" t="s">
        <v>17</v>
      </c>
      <c r="C40" s="13">
        <v>2011</v>
      </c>
      <c r="D40" s="14">
        <f>'COCA COLA CO'!E9</f>
        <v>732</v>
      </c>
    </row>
    <row r="41" spans="1:4" x14ac:dyDescent="0.25">
      <c r="A41" s="13" t="s">
        <v>109</v>
      </c>
      <c r="B41" s="13" t="s">
        <v>18</v>
      </c>
      <c r="C41" s="13">
        <v>2011</v>
      </c>
      <c r="D41" s="14">
        <f>'COCA COLA CO'!E10</f>
        <v>10173</v>
      </c>
    </row>
    <row r="42" spans="1:4" x14ac:dyDescent="0.25">
      <c r="A42" s="13" t="s">
        <v>109</v>
      </c>
      <c r="B42" s="13" t="s">
        <v>19</v>
      </c>
      <c r="C42" s="13">
        <v>2011</v>
      </c>
      <c r="D42" s="14">
        <f>'COCA COLA CO'!E11</f>
        <v>483</v>
      </c>
    </row>
    <row r="43" spans="1:4" x14ac:dyDescent="0.25">
      <c r="A43" s="13" t="s">
        <v>109</v>
      </c>
      <c r="B43" s="13" t="s">
        <v>20</v>
      </c>
      <c r="C43" s="13">
        <v>2011</v>
      </c>
      <c r="D43" s="14">
        <f>'COCA COLA CO'!E12</f>
        <v>417</v>
      </c>
    </row>
    <row r="44" spans="1:4" x14ac:dyDescent="0.25">
      <c r="A44" s="13" t="s">
        <v>109</v>
      </c>
      <c r="B44" s="13" t="s">
        <v>21</v>
      </c>
      <c r="C44" s="13">
        <v>2011</v>
      </c>
      <c r="D44" s="14">
        <f>'COCA COLA CO'!E13</f>
        <v>690</v>
      </c>
    </row>
    <row r="45" spans="1:4" x14ac:dyDescent="0.25">
      <c r="A45" s="13" t="s">
        <v>109</v>
      </c>
      <c r="B45" s="13" t="s">
        <v>22</v>
      </c>
      <c r="C45" s="13">
        <v>2011</v>
      </c>
      <c r="D45" s="14">
        <f>'COCA COLA CO'!E14</f>
        <v>529</v>
      </c>
    </row>
    <row r="46" spans="1:4" x14ac:dyDescent="0.25">
      <c r="A46" s="13" t="s">
        <v>109</v>
      </c>
      <c r="B46" s="13" t="s">
        <v>23</v>
      </c>
      <c r="C46" s="13">
        <v>2011</v>
      </c>
      <c r="D46" s="14">
        <f>'COCA COLA CO'!E15</f>
        <v>11458</v>
      </c>
    </row>
    <row r="47" spans="1:4" x14ac:dyDescent="0.25">
      <c r="A47" s="13" t="s">
        <v>109</v>
      </c>
      <c r="B47" s="13" t="s">
        <v>24</v>
      </c>
      <c r="C47" s="13">
        <v>2011</v>
      </c>
      <c r="D47" s="14">
        <f>'COCA COLA CO'!E16</f>
        <v>2812</v>
      </c>
    </row>
    <row r="48" spans="1:4" x14ac:dyDescent="0.25">
      <c r="A48" s="13" t="s">
        <v>109</v>
      </c>
      <c r="B48" s="13" t="s">
        <v>25</v>
      </c>
      <c r="C48" s="13">
        <v>2011</v>
      </c>
      <c r="D48" s="14">
        <f>'COCA COLA CO'!E17</f>
        <v>8646</v>
      </c>
    </row>
    <row r="49" spans="1:4" x14ac:dyDescent="0.25">
      <c r="A49" s="13" t="s">
        <v>109</v>
      </c>
      <c r="B49" s="13" t="s">
        <v>26</v>
      </c>
      <c r="C49" s="13">
        <v>2011</v>
      </c>
      <c r="D49" s="14">
        <f>'COCA COLA CO'!E18</f>
        <v>62</v>
      </c>
    </row>
    <row r="50" spans="1:4" x14ac:dyDescent="0.25">
      <c r="A50" s="13" t="s">
        <v>109</v>
      </c>
      <c r="B50" s="13" t="s">
        <v>27</v>
      </c>
      <c r="C50" s="13">
        <v>2011</v>
      </c>
      <c r="D50" s="14">
        <f>'COCA COLA CO'!E19</f>
        <v>0</v>
      </c>
    </row>
    <row r="51" spans="1:4" x14ac:dyDescent="0.25">
      <c r="A51" s="13" t="s">
        <v>109</v>
      </c>
      <c r="B51" s="13" t="s">
        <v>28</v>
      </c>
      <c r="C51" s="13">
        <v>2011</v>
      </c>
      <c r="D51" s="14">
        <f>'COCA COLA CO'!E20</f>
        <v>0</v>
      </c>
    </row>
    <row r="52" spans="1:4" x14ac:dyDescent="0.25">
      <c r="A52" s="13" t="s">
        <v>109</v>
      </c>
      <c r="B52" s="13" t="s">
        <v>29</v>
      </c>
      <c r="C52" s="13">
        <v>2011</v>
      </c>
      <c r="D52" s="14">
        <f>'COCA COLA CO'!E21</f>
        <v>8584</v>
      </c>
    </row>
    <row r="53" spans="1:4" x14ac:dyDescent="0.25">
      <c r="A53" s="13" t="s">
        <v>109</v>
      </c>
      <c r="B53" s="13" t="s">
        <v>13</v>
      </c>
      <c r="C53" s="13">
        <v>2012</v>
      </c>
      <c r="D53" s="14">
        <f>'COCA COLA CO'!F5</f>
        <v>48017</v>
      </c>
    </row>
    <row r="54" spans="1:4" x14ac:dyDescent="0.25">
      <c r="A54" s="13" t="s">
        <v>109</v>
      </c>
      <c r="B54" s="13" t="s">
        <v>14</v>
      </c>
      <c r="C54" s="13">
        <v>2012</v>
      </c>
      <c r="D54" s="14">
        <f>'COCA COLA CO'!F6</f>
        <v>19053</v>
      </c>
    </row>
    <row r="55" spans="1:4" x14ac:dyDescent="0.25">
      <c r="A55" s="13" t="s">
        <v>109</v>
      </c>
      <c r="B55" s="13" t="s">
        <v>15</v>
      </c>
      <c r="C55" s="13">
        <v>2012</v>
      </c>
      <c r="D55" s="14">
        <f>'COCA COLA CO'!F7</f>
        <v>28964</v>
      </c>
    </row>
    <row r="56" spans="1:4" x14ac:dyDescent="0.25">
      <c r="A56" s="13" t="s">
        <v>109</v>
      </c>
      <c r="B56" s="13" t="s">
        <v>16</v>
      </c>
      <c r="C56" s="13">
        <v>2012</v>
      </c>
      <c r="D56" s="14">
        <f>'COCA COLA CO'!F8</f>
        <v>17738</v>
      </c>
    </row>
    <row r="57" spans="1:4" x14ac:dyDescent="0.25">
      <c r="A57" s="13" t="s">
        <v>109</v>
      </c>
      <c r="B57" s="13" t="s">
        <v>17</v>
      </c>
      <c r="C57" s="13">
        <v>2012</v>
      </c>
      <c r="D57" s="14">
        <f>'COCA COLA CO'!F9</f>
        <v>447</v>
      </c>
    </row>
    <row r="58" spans="1:4" x14ac:dyDescent="0.25">
      <c r="A58" s="13" t="s">
        <v>109</v>
      </c>
      <c r="B58" s="13" t="s">
        <v>18</v>
      </c>
      <c r="C58" s="13">
        <v>2012</v>
      </c>
      <c r="D58" s="14">
        <f>'COCA COLA CO'!F10</f>
        <v>10779</v>
      </c>
    </row>
    <row r="59" spans="1:4" x14ac:dyDescent="0.25">
      <c r="A59" s="13" t="s">
        <v>109</v>
      </c>
      <c r="B59" s="13" t="s">
        <v>19</v>
      </c>
      <c r="C59" s="13">
        <v>2012</v>
      </c>
      <c r="D59" s="14">
        <f>'COCA COLA CO'!F11</f>
        <v>471</v>
      </c>
    </row>
    <row r="60" spans="1:4" x14ac:dyDescent="0.25">
      <c r="A60" s="13" t="s">
        <v>109</v>
      </c>
      <c r="B60" s="13" t="s">
        <v>20</v>
      </c>
      <c r="C60" s="13">
        <v>2012</v>
      </c>
      <c r="D60" s="14">
        <f>'COCA COLA CO'!F12</f>
        <v>397</v>
      </c>
    </row>
    <row r="61" spans="1:4" x14ac:dyDescent="0.25">
      <c r="A61" s="13" t="s">
        <v>109</v>
      </c>
      <c r="B61" s="13" t="s">
        <v>21</v>
      </c>
      <c r="C61" s="13">
        <v>2012</v>
      </c>
      <c r="D61" s="14">
        <f>'COCA COLA CO'!F13</f>
        <v>819</v>
      </c>
    </row>
    <row r="62" spans="1:4" x14ac:dyDescent="0.25">
      <c r="A62" s="13" t="s">
        <v>109</v>
      </c>
      <c r="B62" s="13" t="s">
        <v>22</v>
      </c>
      <c r="C62" s="13">
        <v>2012</v>
      </c>
      <c r="D62" s="14">
        <f>'COCA COLA CO'!F14</f>
        <v>137</v>
      </c>
    </row>
    <row r="63" spans="1:4" x14ac:dyDescent="0.25">
      <c r="A63" s="13" t="s">
        <v>109</v>
      </c>
      <c r="B63" s="13" t="s">
        <v>23</v>
      </c>
      <c r="C63" s="13">
        <v>2012</v>
      </c>
      <c r="D63" s="14">
        <f>'COCA COLA CO'!F15</f>
        <v>11809</v>
      </c>
    </row>
    <row r="64" spans="1:4" x14ac:dyDescent="0.25">
      <c r="A64" s="13" t="s">
        <v>109</v>
      </c>
      <c r="B64" s="13" t="s">
        <v>24</v>
      </c>
      <c r="C64" s="13">
        <v>2012</v>
      </c>
      <c r="D64" s="14">
        <f>'COCA COLA CO'!F16</f>
        <v>2723</v>
      </c>
    </row>
    <row r="65" spans="1:4" x14ac:dyDescent="0.25">
      <c r="A65" s="13" t="s">
        <v>109</v>
      </c>
      <c r="B65" s="13" t="s">
        <v>25</v>
      </c>
      <c r="C65" s="13">
        <v>2012</v>
      </c>
      <c r="D65" s="14">
        <f>'COCA COLA CO'!F17</f>
        <v>9086</v>
      </c>
    </row>
    <row r="66" spans="1:4" x14ac:dyDescent="0.25">
      <c r="A66" s="13" t="s">
        <v>109</v>
      </c>
      <c r="B66" s="13" t="s">
        <v>26</v>
      </c>
      <c r="C66" s="13">
        <v>2012</v>
      </c>
      <c r="D66" s="14">
        <f>'COCA COLA CO'!F18</f>
        <v>67</v>
      </c>
    </row>
    <row r="67" spans="1:4" x14ac:dyDescent="0.25">
      <c r="A67" s="13" t="s">
        <v>109</v>
      </c>
      <c r="B67" s="13" t="s">
        <v>27</v>
      </c>
      <c r="C67" s="13">
        <v>2012</v>
      </c>
      <c r="D67" s="14">
        <f>'COCA COLA CO'!F19</f>
        <v>0</v>
      </c>
    </row>
    <row r="68" spans="1:4" x14ac:dyDescent="0.25">
      <c r="A68" s="13" t="s">
        <v>109</v>
      </c>
      <c r="B68" s="13" t="s">
        <v>28</v>
      </c>
      <c r="C68" s="13">
        <v>2012</v>
      </c>
      <c r="D68" s="14">
        <f>'COCA COLA CO'!F20</f>
        <v>0</v>
      </c>
    </row>
    <row r="69" spans="1:4" x14ac:dyDescent="0.25">
      <c r="A69" s="13" t="s">
        <v>109</v>
      </c>
      <c r="B69" s="13" t="s">
        <v>29</v>
      </c>
      <c r="C69" s="13">
        <v>2012</v>
      </c>
      <c r="D69" s="14">
        <f>'COCA COLA CO'!F21</f>
        <v>9019</v>
      </c>
    </row>
    <row r="70" spans="1:4" x14ac:dyDescent="0.25">
      <c r="A70" s="13" t="s">
        <v>109</v>
      </c>
      <c r="B70" s="13" t="s">
        <v>13</v>
      </c>
      <c r="C70" s="13">
        <v>2013</v>
      </c>
      <c r="D70" s="14">
        <f>'COCA COLA CO'!G5</f>
        <v>46854</v>
      </c>
    </row>
    <row r="71" spans="1:4" x14ac:dyDescent="0.25">
      <c r="A71" s="13" t="s">
        <v>109</v>
      </c>
      <c r="B71" s="13" t="s">
        <v>14</v>
      </c>
      <c r="C71" s="13">
        <v>2013</v>
      </c>
      <c r="D71" s="14">
        <f>'COCA COLA CO'!G6</f>
        <v>18421</v>
      </c>
    </row>
    <row r="72" spans="1:4" x14ac:dyDescent="0.25">
      <c r="A72" s="13" t="s">
        <v>109</v>
      </c>
      <c r="B72" s="13" t="s">
        <v>15</v>
      </c>
      <c r="C72" s="13">
        <v>2013</v>
      </c>
      <c r="D72" s="14">
        <f>'COCA COLA CO'!G7</f>
        <v>28433</v>
      </c>
    </row>
    <row r="73" spans="1:4" x14ac:dyDescent="0.25">
      <c r="A73" s="13" t="s">
        <v>109</v>
      </c>
      <c r="B73" s="13" t="s">
        <v>16</v>
      </c>
      <c r="C73" s="13">
        <v>2013</v>
      </c>
      <c r="D73" s="14">
        <f>'COCA COLA CO'!G8</f>
        <v>17310</v>
      </c>
    </row>
    <row r="74" spans="1:4" x14ac:dyDescent="0.25">
      <c r="A74" s="13" t="s">
        <v>109</v>
      </c>
      <c r="B74" s="13" t="s">
        <v>17</v>
      </c>
      <c r="C74" s="13">
        <v>2013</v>
      </c>
      <c r="D74" s="14">
        <f>'COCA COLA CO'!G9</f>
        <v>895</v>
      </c>
    </row>
    <row r="75" spans="1:4" x14ac:dyDescent="0.25">
      <c r="A75" s="13" t="s">
        <v>109</v>
      </c>
      <c r="B75" s="13" t="s">
        <v>18</v>
      </c>
      <c r="C75" s="13">
        <v>2013</v>
      </c>
      <c r="D75" s="14">
        <f>'COCA COLA CO'!G10</f>
        <v>10228</v>
      </c>
    </row>
    <row r="76" spans="1:4" x14ac:dyDescent="0.25">
      <c r="A76" s="13" t="s">
        <v>109</v>
      </c>
      <c r="B76" s="13" t="s">
        <v>19</v>
      </c>
      <c r="C76" s="13">
        <v>2013</v>
      </c>
      <c r="D76" s="14">
        <f>'COCA COLA CO'!G11</f>
        <v>534</v>
      </c>
    </row>
    <row r="77" spans="1:4" x14ac:dyDescent="0.25">
      <c r="A77" s="13" t="s">
        <v>109</v>
      </c>
      <c r="B77" s="13" t="s">
        <v>20</v>
      </c>
      <c r="C77" s="13">
        <v>2013</v>
      </c>
      <c r="D77" s="14">
        <f>'COCA COLA CO'!G12</f>
        <v>463</v>
      </c>
    </row>
    <row r="78" spans="1:4" x14ac:dyDescent="0.25">
      <c r="A78" s="13" t="s">
        <v>109</v>
      </c>
      <c r="B78" s="13" t="s">
        <v>21</v>
      </c>
      <c r="C78" s="13">
        <v>2013</v>
      </c>
      <c r="D78" s="14">
        <f>'COCA COLA CO'!G13</f>
        <v>602</v>
      </c>
    </row>
    <row r="79" spans="1:4" x14ac:dyDescent="0.25">
      <c r="A79" s="13" t="s">
        <v>109</v>
      </c>
      <c r="B79" s="13" t="s">
        <v>22</v>
      </c>
      <c r="C79" s="13">
        <v>2013</v>
      </c>
      <c r="D79" s="14">
        <f>'COCA COLA CO'!G14</f>
        <v>576</v>
      </c>
    </row>
    <row r="80" spans="1:4" x14ac:dyDescent="0.25">
      <c r="A80" s="13" t="s">
        <v>109</v>
      </c>
      <c r="B80" s="13" t="s">
        <v>23</v>
      </c>
      <c r="C80" s="13">
        <v>2013</v>
      </c>
      <c r="D80" s="14">
        <f>'COCA COLA CO'!G15</f>
        <v>11477</v>
      </c>
    </row>
    <row r="81" spans="1:4" x14ac:dyDescent="0.25">
      <c r="A81" s="13" t="s">
        <v>109</v>
      </c>
      <c r="B81" s="13" t="s">
        <v>24</v>
      </c>
      <c r="C81" s="13">
        <v>2013</v>
      </c>
      <c r="D81" s="14">
        <f>'COCA COLA CO'!G16</f>
        <v>2851</v>
      </c>
    </row>
    <row r="82" spans="1:4" x14ac:dyDescent="0.25">
      <c r="A82" s="13" t="s">
        <v>109</v>
      </c>
      <c r="B82" s="13" t="s">
        <v>25</v>
      </c>
      <c r="C82" s="13">
        <v>2013</v>
      </c>
      <c r="D82" s="14">
        <f>'COCA COLA CO'!G17</f>
        <v>8626</v>
      </c>
    </row>
    <row r="83" spans="1:4" x14ac:dyDescent="0.25">
      <c r="A83" s="13" t="s">
        <v>109</v>
      </c>
      <c r="B83" s="13" t="s">
        <v>26</v>
      </c>
      <c r="C83" s="13">
        <v>2013</v>
      </c>
      <c r="D83" s="14">
        <f>'COCA COLA CO'!G18</f>
        <v>42</v>
      </c>
    </row>
    <row r="84" spans="1:4" x14ac:dyDescent="0.25">
      <c r="A84" s="13" t="s">
        <v>109</v>
      </c>
      <c r="B84" s="13" t="s">
        <v>27</v>
      </c>
      <c r="C84" s="13">
        <v>2013</v>
      </c>
      <c r="D84" s="14">
        <f>'COCA COLA CO'!G19</f>
        <v>0</v>
      </c>
    </row>
    <row r="85" spans="1:4" x14ac:dyDescent="0.25">
      <c r="A85" s="13" t="s">
        <v>109</v>
      </c>
      <c r="B85" s="13" t="s">
        <v>28</v>
      </c>
      <c r="C85" s="13">
        <v>2013</v>
      </c>
      <c r="D85" s="14">
        <f>'COCA COLA CO'!G20</f>
        <v>0</v>
      </c>
    </row>
    <row r="86" spans="1:4" x14ac:dyDescent="0.25">
      <c r="A86" s="13" t="s">
        <v>109</v>
      </c>
      <c r="B86" s="13" t="s">
        <v>29</v>
      </c>
      <c r="C86" s="13">
        <v>2013</v>
      </c>
      <c r="D86" s="14">
        <f>'COCA COLA CO'!G21</f>
        <v>8584</v>
      </c>
    </row>
    <row r="87" spans="1:4" x14ac:dyDescent="0.25">
      <c r="A87" s="13" t="s">
        <v>109</v>
      </c>
      <c r="B87" s="13" t="s">
        <v>13</v>
      </c>
      <c r="C87" s="13">
        <v>2014</v>
      </c>
      <c r="D87" s="14">
        <f>'COCA COLA CO'!H5</f>
        <v>45998</v>
      </c>
    </row>
    <row r="88" spans="1:4" x14ac:dyDescent="0.25">
      <c r="A88" s="13" t="s">
        <v>109</v>
      </c>
      <c r="B88" s="13" t="s">
        <v>14</v>
      </c>
      <c r="C88" s="13">
        <v>2014</v>
      </c>
      <c r="D88" s="14">
        <f>'COCA COLA CO'!H6</f>
        <v>17889</v>
      </c>
    </row>
    <row r="89" spans="1:4" x14ac:dyDescent="0.25">
      <c r="A89" s="13" t="s">
        <v>109</v>
      </c>
      <c r="B89" s="13" t="s">
        <v>15</v>
      </c>
      <c r="C89" s="13">
        <v>2014</v>
      </c>
      <c r="D89" s="14">
        <f>'COCA COLA CO'!H7</f>
        <v>28109</v>
      </c>
    </row>
    <row r="90" spans="1:4" x14ac:dyDescent="0.25">
      <c r="A90" s="13" t="s">
        <v>109</v>
      </c>
      <c r="B90" s="13" t="s">
        <v>16</v>
      </c>
      <c r="C90" s="13">
        <v>2014</v>
      </c>
      <c r="D90" s="14">
        <f>'COCA COLA CO'!H8</f>
        <v>17218</v>
      </c>
    </row>
    <row r="91" spans="1:4" x14ac:dyDescent="0.25">
      <c r="A91" s="13" t="s">
        <v>109</v>
      </c>
      <c r="B91" s="13" t="s">
        <v>17</v>
      </c>
      <c r="C91" s="13">
        <v>2014</v>
      </c>
      <c r="D91" s="14">
        <f>'COCA COLA CO'!H9</f>
        <v>1183</v>
      </c>
    </row>
    <row r="92" spans="1:4" x14ac:dyDescent="0.25">
      <c r="A92" s="13" t="s">
        <v>109</v>
      </c>
      <c r="B92" s="13" t="s">
        <v>18</v>
      </c>
      <c r="C92" s="13">
        <v>2014</v>
      </c>
      <c r="D92" s="14">
        <f>'COCA COLA CO'!H10</f>
        <v>9708</v>
      </c>
    </row>
    <row r="93" spans="1:4" x14ac:dyDescent="0.25">
      <c r="A93" s="13" t="s">
        <v>109</v>
      </c>
      <c r="B93" s="13" t="s">
        <v>19</v>
      </c>
      <c r="C93" s="13">
        <v>2014</v>
      </c>
      <c r="D93" s="14">
        <f>'COCA COLA CO'!H11</f>
        <v>594</v>
      </c>
    </row>
    <row r="94" spans="1:4" x14ac:dyDescent="0.25">
      <c r="A94" s="13" t="s">
        <v>109</v>
      </c>
      <c r="B94" s="13" t="s">
        <v>20</v>
      </c>
      <c r="C94" s="13">
        <v>2014</v>
      </c>
      <c r="D94" s="14">
        <f>'COCA COLA CO'!H12</f>
        <v>483</v>
      </c>
    </row>
    <row r="95" spans="1:4" x14ac:dyDescent="0.25">
      <c r="A95" s="13" t="s">
        <v>109</v>
      </c>
      <c r="B95" s="13" t="s">
        <v>21</v>
      </c>
      <c r="C95" s="13">
        <v>2014</v>
      </c>
      <c r="D95" s="14">
        <f>'COCA COLA CO'!H13</f>
        <v>769</v>
      </c>
    </row>
    <row r="96" spans="1:4" x14ac:dyDescent="0.25">
      <c r="A96" s="13" t="s">
        <v>109</v>
      </c>
      <c r="B96" s="13" t="s">
        <v>22</v>
      </c>
      <c r="C96" s="13">
        <v>2014</v>
      </c>
      <c r="D96" s="14">
        <f>'COCA COLA CO'!H14</f>
        <v>-1263</v>
      </c>
    </row>
    <row r="97" spans="1:4" x14ac:dyDescent="0.25">
      <c r="A97" s="13" t="s">
        <v>109</v>
      </c>
      <c r="B97" s="13" t="s">
        <v>23</v>
      </c>
      <c r="C97" s="13">
        <v>2014</v>
      </c>
      <c r="D97" s="14">
        <f>'COCA COLA CO'!H15</f>
        <v>9325</v>
      </c>
    </row>
    <row r="98" spans="1:4" x14ac:dyDescent="0.25">
      <c r="A98" s="13" t="s">
        <v>109</v>
      </c>
      <c r="B98" s="13" t="s">
        <v>24</v>
      </c>
      <c r="C98" s="13">
        <v>2014</v>
      </c>
      <c r="D98" s="14">
        <f>'COCA COLA CO'!H16</f>
        <v>2201</v>
      </c>
    </row>
    <row r="99" spans="1:4" x14ac:dyDescent="0.25">
      <c r="A99" s="13" t="s">
        <v>109</v>
      </c>
      <c r="B99" s="13" t="s">
        <v>25</v>
      </c>
      <c r="C99" s="13">
        <v>2014</v>
      </c>
      <c r="D99" s="14">
        <f>'COCA COLA CO'!H17</f>
        <v>7124</v>
      </c>
    </row>
    <row r="100" spans="1:4" x14ac:dyDescent="0.25">
      <c r="A100" s="13" t="s">
        <v>109</v>
      </c>
      <c r="B100" s="13" t="s">
        <v>26</v>
      </c>
      <c r="C100" s="13">
        <v>2014</v>
      </c>
      <c r="D100" s="14">
        <f>'COCA COLA CO'!H18</f>
        <v>26</v>
      </c>
    </row>
    <row r="101" spans="1:4" x14ac:dyDescent="0.25">
      <c r="A101" s="13" t="s">
        <v>109</v>
      </c>
      <c r="B101" s="13" t="s">
        <v>27</v>
      </c>
      <c r="C101" s="13">
        <v>2014</v>
      </c>
      <c r="D101" s="14">
        <f>'COCA COLA CO'!H19</f>
        <v>0</v>
      </c>
    </row>
    <row r="102" spans="1:4" x14ac:dyDescent="0.25">
      <c r="A102" s="13" t="s">
        <v>109</v>
      </c>
      <c r="B102" s="13" t="s">
        <v>28</v>
      </c>
      <c r="C102" s="13">
        <v>2014</v>
      </c>
      <c r="D102" s="14">
        <f>'COCA COLA CO'!H20</f>
        <v>0</v>
      </c>
    </row>
    <row r="103" spans="1:4" x14ac:dyDescent="0.25">
      <c r="A103" s="13" t="s">
        <v>109</v>
      </c>
      <c r="B103" s="13" t="s">
        <v>29</v>
      </c>
      <c r="C103" s="13">
        <v>2014</v>
      </c>
      <c r="D103" s="14">
        <f>'COCA COLA CO'!H21</f>
        <v>7098</v>
      </c>
    </row>
    <row r="104" spans="1:4" x14ac:dyDescent="0.25">
      <c r="A104" s="13" t="s">
        <v>109</v>
      </c>
      <c r="B104" s="13" t="s">
        <v>13</v>
      </c>
      <c r="C104" s="13">
        <v>2015</v>
      </c>
      <c r="D104" s="14">
        <f>'COCA COLA CO'!I5</f>
        <v>44294</v>
      </c>
    </row>
    <row r="105" spans="1:4" x14ac:dyDescent="0.25">
      <c r="A105" s="13" t="s">
        <v>109</v>
      </c>
      <c r="B105" s="13" t="s">
        <v>14</v>
      </c>
      <c r="C105" s="13">
        <v>2015</v>
      </c>
      <c r="D105" s="14">
        <f>'COCA COLA CO'!I6</f>
        <v>17482</v>
      </c>
    </row>
    <row r="106" spans="1:4" x14ac:dyDescent="0.25">
      <c r="A106" s="13" t="s">
        <v>109</v>
      </c>
      <c r="B106" s="13" t="s">
        <v>15</v>
      </c>
      <c r="C106" s="13">
        <v>2015</v>
      </c>
      <c r="D106" s="14">
        <f>'COCA COLA CO'!I7</f>
        <v>26812</v>
      </c>
    </row>
    <row r="107" spans="1:4" x14ac:dyDescent="0.25">
      <c r="A107" s="13" t="s">
        <v>109</v>
      </c>
      <c r="B107" s="13" t="s">
        <v>16</v>
      </c>
      <c r="C107" s="13">
        <v>2015</v>
      </c>
      <c r="D107" s="14">
        <f>'COCA COLA CO'!I8</f>
        <v>16427</v>
      </c>
    </row>
    <row r="108" spans="1:4" x14ac:dyDescent="0.25">
      <c r="A108" s="13" t="s">
        <v>109</v>
      </c>
      <c r="B108" s="13" t="s">
        <v>17</v>
      </c>
      <c r="C108" s="13">
        <v>2015</v>
      </c>
      <c r="D108" s="14">
        <f>'COCA COLA CO'!I9</f>
        <v>1657</v>
      </c>
    </row>
    <row r="109" spans="1:4" x14ac:dyDescent="0.25">
      <c r="A109" s="13" t="s">
        <v>109</v>
      </c>
      <c r="B109" s="13" t="s">
        <v>18</v>
      </c>
      <c r="C109" s="13">
        <v>2015</v>
      </c>
      <c r="D109" s="14">
        <f>'COCA COLA CO'!I10</f>
        <v>8728</v>
      </c>
    </row>
    <row r="110" spans="1:4" x14ac:dyDescent="0.25">
      <c r="A110" s="13" t="s">
        <v>109</v>
      </c>
      <c r="B110" s="13" t="s">
        <v>19</v>
      </c>
      <c r="C110" s="13">
        <v>2015</v>
      </c>
      <c r="D110" s="14">
        <f>'COCA COLA CO'!I11</f>
        <v>613</v>
      </c>
    </row>
    <row r="111" spans="1:4" x14ac:dyDescent="0.25">
      <c r="A111" s="13" t="s">
        <v>109</v>
      </c>
      <c r="B111" s="13" t="s">
        <v>20</v>
      </c>
      <c r="C111" s="13">
        <v>2015</v>
      </c>
      <c r="D111" s="14">
        <f>'COCA COLA CO'!I12</f>
        <v>856</v>
      </c>
    </row>
    <row r="112" spans="1:4" x14ac:dyDescent="0.25">
      <c r="A112" s="13" t="s">
        <v>109</v>
      </c>
      <c r="B112" s="13" t="s">
        <v>21</v>
      </c>
      <c r="C112" s="13">
        <v>2015</v>
      </c>
      <c r="D112" s="14">
        <f>'COCA COLA CO'!I13</f>
        <v>489</v>
      </c>
    </row>
    <row r="113" spans="1:4" x14ac:dyDescent="0.25">
      <c r="A113" s="13" t="s">
        <v>109</v>
      </c>
      <c r="B113" s="13" t="s">
        <v>22</v>
      </c>
      <c r="C113" s="13">
        <v>2015</v>
      </c>
      <c r="D113" s="14">
        <f>'COCA COLA CO'!I14</f>
        <v>631</v>
      </c>
    </row>
    <row r="114" spans="1:4" x14ac:dyDescent="0.25">
      <c r="A114" s="13" t="s">
        <v>109</v>
      </c>
      <c r="B114" s="13" t="s">
        <v>23</v>
      </c>
      <c r="C114" s="13">
        <v>2015</v>
      </c>
      <c r="D114" s="14">
        <f>'COCA COLA CO'!I15</f>
        <v>9605</v>
      </c>
    </row>
    <row r="115" spans="1:4" x14ac:dyDescent="0.25">
      <c r="A115" s="13" t="s">
        <v>109</v>
      </c>
      <c r="B115" s="13" t="s">
        <v>24</v>
      </c>
      <c r="C115" s="13">
        <v>2015</v>
      </c>
      <c r="D115" s="14">
        <f>'COCA COLA CO'!I16</f>
        <v>2239</v>
      </c>
    </row>
    <row r="116" spans="1:4" x14ac:dyDescent="0.25">
      <c r="A116" s="13" t="s">
        <v>109</v>
      </c>
      <c r="B116" s="13" t="s">
        <v>25</v>
      </c>
      <c r="C116" s="13">
        <v>2015</v>
      </c>
      <c r="D116" s="14">
        <f>'COCA COLA CO'!I17</f>
        <v>7366</v>
      </c>
    </row>
    <row r="117" spans="1:4" x14ac:dyDescent="0.25">
      <c r="A117" s="13" t="s">
        <v>109</v>
      </c>
      <c r="B117" s="13" t="s">
        <v>26</v>
      </c>
      <c r="C117" s="13">
        <v>2015</v>
      </c>
      <c r="D117" s="14">
        <f>'COCA COLA CO'!I18</f>
        <v>15</v>
      </c>
    </row>
    <row r="118" spans="1:4" x14ac:dyDescent="0.25">
      <c r="A118" s="13" t="s">
        <v>109</v>
      </c>
      <c r="B118" s="13" t="s">
        <v>27</v>
      </c>
      <c r="C118" s="13">
        <v>2015</v>
      </c>
      <c r="D118" s="14">
        <f>'COCA COLA CO'!I19</f>
        <v>7366</v>
      </c>
    </row>
    <row r="119" spans="1:4" x14ac:dyDescent="0.25">
      <c r="A119" s="13" t="s">
        <v>109</v>
      </c>
      <c r="B119" s="13" t="s">
        <v>28</v>
      </c>
      <c r="C119" s="13">
        <v>2015</v>
      </c>
      <c r="D119" s="14">
        <f>'COCA COLA CO'!I20</f>
        <v>0</v>
      </c>
    </row>
    <row r="120" spans="1:4" x14ac:dyDescent="0.25">
      <c r="A120" s="13" t="s">
        <v>109</v>
      </c>
      <c r="B120" s="13" t="s">
        <v>29</v>
      </c>
      <c r="C120" s="13">
        <v>2015</v>
      </c>
      <c r="D120" s="14">
        <f>'COCA COLA CO'!I21</f>
        <v>7351</v>
      </c>
    </row>
    <row r="121" spans="1:4" x14ac:dyDescent="0.25">
      <c r="A121" s="13" t="s">
        <v>109</v>
      </c>
      <c r="B121" s="13" t="s">
        <v>13</v>
      </c>
      <c r="C121" s="13">
        <v>2016</v>
      </c>
      <c r="D121" s="14">
        <f>'COCA COLA CO'!J5</f>
        <v>41863</v>
      </c>
    </row>
    <row r="122" spans="1:4" x14ac:dyDescent="0.25">
      <c r="A122" s="13" t="s">
        <v>109</v>
      </c>
      <c r="B122" s="13" t="s">
        <v>14</v>
      </c>
      <c r="C122" s="13">
        <v>2016</v>
      </c>
      <c r="D122" s="14">
        <f>'COCA COLA CO'!J6</f>
        <v>16465</v>
      </c>
    </row>
    <row r="123" spans="1:4" x14ac:dyDescent="0.25">
      <c r="A123" s="13" t="s">
        <v>109</v>
      </c>
      <c r="B123" s="13" t="s">
        <v>15</v>
      </c>
      <c r="C123" s="13">
        <v>2016</v>
      </c>
      <c r="D123" s="14">
        <f>'COCA COLA CO'!J7</f>
        <v>25398</v>
      </c>
    </row>
    <row r="124" spans="1:4" x14ac:dyDescent="0.25">
      <c r="A124" s="13" t="s">
        <v>109</v>
      </c>
      <c r="B124" s="13" t="s">
        <v>16</v>
      </c>
      <c r="C124" s="13">
        <v>2016</v>
      </c>
      <c r="D124" s="14">
        <f>'COCA COLA CO'!J8</f>
        <v>15262</v>
      </c>
    </row>
    <row r="125" spans="1:4" x14ac:dyDescent="0.25">
      <c r="A125" s="13" t="s">
        <v>109</v>
      </c>
      <c r="B125" s="13" t="s">
        <v>17</v>
      </c>
      <c r="C125" s="13">
        <v>2016</v>
      </c>
      <c r="D125" s="14">
        <f>'COCA COLA CO'!J9</f>
        <v>1510</v>
      </c>
    </row>
    <row r="126" spans="1:4" x14ac:dyDescent="0.25">
      <c r="A126" s="13" t="s">
        <v>109</v>
      </c>
      <c r="B126" s="13" t="s">
        <v>18</v>
      </c>
      <c r="C126" s="13">
        <v>2016</v>
      </c>
      <c r="D126" s="14">
        <f>'COCA COLA CO'!J10</f>
        <v>8626</v>
      </c>
    </row>
    <row r="127" spans="1:4" x14ac:dyDescent="0.25">
      <c r="A127" s="13" t="s">
        <v>109</v>
      </c>
      <c r="B127" s="13" t="s">
        <v>19</v>
      </c>
      <c r="C127" s="13">
        <v>2016</v>
      </c>
      <c r="D127" s="14">
        <f>'COCA COLA CO'!J11</f>
        <v>642</v>
      </c>
    </row>
    <row r="128" spans="1:4" x14ac:dyDescent="0.25">
      <c r="A128" s="13" t="s">
        <v>109</v>
      </c>
      <c r="B128" s="13" t="s">
        <v>20</v>
      </c>
      <c r="C128" s="13">
        <v>2016</v>
      </c>
      <c r="D128" s="14">
        <f>'COCA COLA CO'!J12</f>
        <v>733</v>
      </c>
    </row>
    <row r="129" spans="1:4" x14ac:dyDescent="0.25">
      <c r="A129" s="13" t="s">
        <v>109</v>
      </c>
      <c r="B129" s="13" t="s">
        <v>21</v>
      </c>
      <c r="C129" s="13">
        <v>2016</v>
      </c>
      <c r="D129" s="14">
        <f>'COCA COLA CO'!J13</f>
        <v>835</v>
      </c>
    </row>
    <row r="130" spans="1:4" x14ac:dyDescent="0.25">
      <c r="A130" s="13" t="s">
        <v>109</v>
      </c>
      <c r="B130" s="13" t="s">
        <v>22</v>
      </c>
      <c r="C130" s="13">
        <v>2016</v>
      </c>
      <c r="D130" s="14">
        <f>'COCA COLA CO'!J14</f>
        <v>-1234</v>
      </c>
    </row>
    <row r="131" spans="1:4" x14ac:dyDescent="0.25">
      <c r="A131" s="13" t="s">
        <v>109</v>
      </c>
      <c r="B131" s="13" t="s">
        <v>23</v>
      </c>
      <c r="C131" s="13">
        <v>2016</v>
      </c>
      <c r="D131" s="14">
        <f>'COCA COLA CO'!J15</f>
        <v>8136</v>
      </c>
    </row>
    <row r="132" spans="1:4" x14ac:dyDescent="0.25">
      <c r="A132" s="13" t="s">
        <v>109</v>
      </c>
      <c r="B132" s="13" t="s">
        <v>24</v>
      </c>
      <c r="C132" s="13">
        <v>2016</v>
      </c>
      <c r="D132" s="14">
        <f>'COCA COLA CO'!J16</f>
        <v>1586</v>
      </c>
    </row>
    <row r="133" spans="1:4" x14ac:dyDescent="0.25">
      <c r="A133" s="13" t="s">
        <v>109</v>
      </c>
      <c r="B133" s="13" t="s">
        <v>25</v>
      </c>
      <c r="C133" s="13">
        <v>2016</v>
      </c>
      <c r="D133" s="14">
        <f>'COCA COLA CO'!J17</f>
        <v>6550</v>
      </c>
    </row>
    <row r="134" spans="1:4" x14ac:dyDescent="0.25">
      <c r="A134" s="13" t="s">
        <v>109</v>
      </c>
      <c r="B134" s="13" t="s">
        <v>26</v>
      </c>
      <c r="C134" s="13">
        <v>2016</v>
      </c>
      <c r="D134" s="14">
        <f>'COCA COLA CO'!J18</f>
        <v>23</v>
      </c>
    </row>
    <row r="135" spans="1:4" x14ac:dyDescent="0.25">
      <c r="A135" s="13" t="s">
        <v>109</v>
      </c>
      <c r="B135" s="13" t="s">
        <v>27</v>
      </c>
      <c r="C135" s="13">
        <v>2016</v>
      </c>
      <c r="D135" s="14">
        <f>'COCA COLA CO'!J19</f>
        <v>6550</v>
      </c>
    </row>
    <row r="136" spans="1:4" x14ac:dyDescent="0.25">
      <c r="A136" s="13" t="s">
        <v>109</v>
      </c>
      <c r="B136" s="13" t="s">
        <v>28</v>
      </c>
      <c r="C136" s="13">
        <v>2016</v>
      </c>
      <c r="D136" s="14">
        <f>'COCA COLA CO'!J20</f>
        <v>0</v>
      </c>
    </row>
    <row r="137" spans="1:4" x14ac:dyDescent="0.25">
      <c r="A137" s="13" t="s">
        <v>109</v>
      </c>
      <c r="B137" s="13" t="s">
        <v>29</v>
      </c>
      <c r="C137" s="13">
        <v>2016</v>
      </c>
      <c r="D137" s="14">
        <f>'COCA COLA CO'!J21</f>
        <v>6527</v>
      </c>
    </row>
    <row r="138" spans="1:4" x14ac:dyDescent="0.25">
      <c r="A138" s="13" t="s">
        <v>109</v>
      </c>
      <c r="B138" s="13" t="s">
        <v>13</v>
      </c>
      <c r="C138" s="13">
        <v>2017</v>
      </c>
      <c r="D138" s="14">
        <f>'COCA COLA CO'!K5</f>
        <v>35410</v>
      </c>
    </row>
    <row r="139" spans="1:4" x14ac:dyDescent="0.25">
      <c r="A139" s="13" t="s">
        <v>109</v>
      </c>
      <c r="B139" s="13" t="s">
        <v>14</v>
      </c>
      <c r="C139" s="13">
        <v>2017</v>
      </c>
      <c r="D139" s="14">
        <f>'COCA COLA CO'!K6</f>
        <v>13255</v>
      </c>
    </row>
    <row r="140" spans="1:4" x14ac:dyDescent="0.25">
      <c r="A140" s="13" t="s">
        <v>109</v>
      </c>
      <c r="B140" s="13" t="s">
        <v>15</v>
      </c>
      <c r="C140" s="13">
        <v>2017</v>
      </c>
      <c r="D140" s="14">
        <f>'COCA COLA CO'!K7</f>
        <v>22155</v>
      </c>
    </row>
    <row r="141" spans="1:4" x14ac:dyDescent="0.25">
      <c r="A141" s="13" t="s">
        <v>109</v>
      </c>
      <c r="B141" s="13" t="s">
        <v>16</v>
      </c>
      <c r="C141" s="13">
        <v>2017</v>
      </c>
      <c r="D141" s="14">
        <f>'COCA COLA CO'!K8</f>
        <v>12654</v>
      </c>
    </row>
    <row r="142" spans="1:4" x14ac:dyDescent="0.25">
      <c r="A142" s="13" t="s">
        <v>109</v>
      </c>
      <c r="B142" s="13" t="s">
        <v>17</v>
      </c>
      <c r="C142" s="13">
        <v>2017</v>
      </c>
      <c r="D142" s="14">
        <f>'COCA COLA CO'!K9</f>
        <v>1902</v>
      </c>
    </row>
    <row r="143" spans="1:4" x14ac:dyDescent="0.25">
      <c r="A143" s="13" t="s">
        <v>109</v>
      </c>
      <c r="B143" s="13" t="s">
        <v>18</v>
      </c>
      <c r="C143" s="13">
        <v>2017</v>
      </c>
      <c r="D143" s="14">
        <f>'COCA COLA CO'!K10</f>
        <v>7599</v>
      </c>
    </row>
    <row r="144" spans="1:4" x14ac:dyDescent="0.25">
      <c r="A144" s="13" t="s">
        <v>109</v>
      </c>
      <c r="B144" s="13" t="s">
        <v>19</v>
      </c>
      <c r="C144" s="13">
        <v>2017</v>
      </c>
      <c r="D144" s="14">
        <f>'COCA COLA CO'!K11</f>
        <v>677</v>
      </c>
    </row>
    <row r="145" spans="1:4" x14ac:dyDescent="0.25">
      <c r="A145" s="13" t="s">
        <v>109</v>
      </c>
      <c r="B145" s="13" t="s">
        <v>20</v>
      </c>
      <c r="C145" s="13">
        <v>2017</v>
      </c>
      <c r="D145" s="14">
        <f>'COCA COLA CO'!K12</f>
        <v>841</v>
      </c>
    </row>
    <row r="146" spans="1:4" x14ac:dyDescent="0.25">
      <c r="A146" s="13" t="s">
        <v>109</v>
      </c>
      <c r="B146" s="13" t="s">
        <v>21</v>
      </c>
      <c r="C146" s="13">
        <v>2017</v>
      </c>
      <c r="D146" s="14">
        <f>'COCA COLA CO'!K13</f>
        <v>1071</v>
      </c>
    </row>
    <row r="147" spans="1:4" x14ac:dyDescent="0.25">
      <c r="A147" s="13" t="s">
        <v>109</v>
      </c>
      <c r="B147" s="13" t="s">
        <v>22</v>
      </c>
      <c r="C147" s="13">
        <v>2017</v>
      </c>
      <c r="D147" s="14">
        <f>'COCA COLA CO'!K14</f>
        <v>-1764</v>
      </c>
    </row>
    <row r="148" spans="1:4" x14ac:dyDescent="0.25">
      <c r="A148" s="13" t="s">
        <v>109</v>
      </c>
      <c r="B148" s="13" t="s">
        <v>23</v>
      </c>
      <c r="C148" s="13">
        <v>2017</v>
      </c>
      <c r="D148" s="14">
        <f>'COCA COLA CO'!K15</f>
        <v>6742</v>
      </c>
    </row>
    <row r="149" spans="1:4" x14ac:dyDescent="0.25">
      <c r="A149" s="13" t="s">
        <v>109</v>
      </c>
      <c r="B149" s="13" t="s">
        <v>24</v>
      </c>
      <c r="C149" s="13">
        <v>2017</v>
      </c>
      <c r="D149" s="14">
        <f>'COCA COLA CO'!K16</f>
        <v>5560</v>
      </c>
    </row>
    <row r="150" spans="1:4" x14ac:dyDescent="0.25">
      <c r="A150" s="13" t="s">
        <v>109</v>
      </c>
      <c r="B150" s="13" t="s">
        <v>25</v>
      </c>
      <c r="C150" s="13">
        <v>2017</v>
      </c>
      <c r="D150" s="14">
        <f>'COCA COLA CO'!K17</f>
        <v>1283</v>
      </c>
    </row>
    <row r="151" spans="1:4" x14ac:dyDescent="0.25">
      <c r="A151" s="13" t="s">
        <v>109</v>
      </c>
      <c r="B151" s="13" t="s">
        <v>26</v>
      </c>
      <c r="C151" s="13">
        <v>2017</v>
      </c>
      <c r="D151" s="14">
        <f>'COCA COLA CO'!K18</f>
        <v>35</v>
      </c>
    </row>
    <row r="152" spans="1:4" x14ac:dyDescent="0.25">
      <c r="A152" s="13" t="s">
        <v>109</v>
      </c>
      <c r="B152" s="13" t="s">
        <v>27</v>
      </c>
      <c r="C152" s="13">
        <v>2017</v>
      </c>
      <c r="D152" s="14">
        <f>'COCA COLA CO'!K19</f>
        <v>1182</v>
      </c>
    </row>
    <row r="153" spans="1:4" x14ac:dyDescent="0.25">
      <c r="A153" s="13" t="s">
        <v>109</v>
      </c>
      <c r="B153" s="13" t="s">
        <v>28</v>
      </c>
      <c r="C153" s="13">
        <v>2017</v>
      </c>
      <c r="D153" s="14">
        <f>'COCA COLA CO'!K20</f>
        <v>101</v>
      </c>
    </row>
    <row r="154" spans="1:4" x14ac:dyDescent="0.25">
      <c r="A154" s="13" t="s">
        <v>109</v>
      </c>
      <c r="B154" s="13" t="s">
        <v>29</v>
      </c>
      <c r="C154" s="13">
        <v>2017</v>
      </c>
      <c r="D154" s="14">
        <f>'COCA COLA CO'!K21</f>
        <v>1248</v>
      </c>
    </row>
    <row r="155" spans="1:4" x14ac:dyDescent="0.25">
      <c r="A155" s="13" t="s">
        <v>109</v>
      </c>
      <c r="B155" s="13" t="s">
        <v>13</v>
      </c>
      <c r="C155" s="13">
        <v>2018</v>
      </c>
      <c r="D155" s="14">
        <f>'COCA COLA CO'!L5</f>
        <v>31856</v>
      </c>
    </row>
    <row r="156" spans="1:4" x14ac:dyDescent="0.25">
      <c r="A156" s="13" t="s">
        <v>109</v>
      </c>
      <c r="B156" s="13" t="s">
        <v>14</v>
      </c>
      <c r="C156" s="13">
        <v>2018</v>
      </c>
      <c r="D156" s="14">
        <f>'COCA COLA CO'!L6</f>
        <v>11770</v>
      </c>
    </row>
    <row r="157" spans="1:4" x14ac:dyDescent="0.25">
      <c r="A157" s="13" t="s">
        <v>109</v>
      </c>
      <c r="B157" s="13" t="s">
        <v>15</v>
      </c>
      <c r="C157" s="13">
        <v>2018</v>
      </c>
      <c r="D157" s="14">
        <f>'COCA COLA CO'!L7</f>
        <v>20086</v>
      </c>
    </row>
    <row r="158" spans="1:4" x14ac:dyDescent="0.25">
      <c r="A158" s="13" t="s">
        <v>109</v>
      </c>
      <c r="B158" s="13" t="s">
        <v>16</v>
      </c>
      <c r="C158" s="13">
        <v>2018</v>
      </c>
      <c r="D158" s="14">
        <f>'COCA COLA CO'!L8</f>
        <v>10307</v>
      </c>
    </row>
    <row r="159" spans="1:4" x14ac:dyDescent="0.25">
      <c r="A159" s="13" t="s">
        <v>109</v>
      </c>
      <c r="B159" s="13" t="s">
        <v>17</v>
      </c>
      <c r="C159" s="13">
        <v>2018</v>
      </c>
      <c r="D159" s="14">
        <f>'COCA COLA CO'!L9</f>
        <v>1079</v>
      </c>
    </row>
    <row r="160" spans="1:4" x14ac:dyDescent="0.25">
      <c r="A160" s="13" t="s">
        <v>109</v>
      </c>
      <c r="B160" s="13" t="s">
        <v>18</v>
      </c>
      <c r="C160" s="13">
        <v>2018</v>
      </c>
      <c r="D160" s="14">
        <f>'COCA COLA CO'!L10</f>
        <v>8700</v>
      </c>
    </row>
    <row r="161" spans="1:4" x14ac:dyDescent="0.25">
      <c r="A161" s="13" t="s">
        <v>109</v>
      </c>
      <c r="B161" s="13" t="s">
        <v>19</v>
      </c>
      <c r="C161" s="13">
        <v>2018</v>
      </c>
      <c r="D161" s="14">
        <f>'COCA COLA CO'!L11</f>
        <v>682</v>
      </c>
    </row>
    <row r="162" spans="1:4" x14ac:dyDescent="0.25">
      <c r="A162" s="13" t="s">
        <v>109</v>
      </c>
      <c r="B162" s="13" t="s">
        <v>20</v>
      </c>
      <c r="C162" s="13">
        <v>2018</v>
      </c>
      <c r="D162" s="14">
        <f>'COCA COLA CO'!L12</f>
        <v>919</v>
      </c>
    </row>
    <row r="163" spans="1:4" x14ac:dyDescent="0.25">
      <c r="A163" s="13" t="s">
        <v>109</v>
      </c>
      <c r="B163" s="13" t="s">
        <v>21</v>
      </c>
      <c r="C163" s="13">
        <v>2018</v>
      </c>
      <c r="D163" s="14">
        <f>'COCA COLA CO'!L13</f>
        <v>1008</v>
      </c>
    </row>
    <row r="164" spans="1:4" x14ac:dyDescent="0.25">
      <c r="A164" s="13" t="s">
        <v>109</v>
      </c>
      <c r="B164" s="13" t="s">
        <v>22</v>
      </c>
      <c r="C164" s="13">
        <v>2018</v>
      </c>
      <c r="D164" s="14">
        <f>'COCA COLA CO'!L14</f>
        <v>-1121</v>
      </c>
    </row>
    <row r="165" spans="1:4" x14ac:dyDescent="0.25">
      <c r="A165" s="13" t="s">
        <v>109</v>
      </c>
      <c r="B165" s="13" t="s">
        <v>23</v>
      </c>
      <c r="C165" s="13">
        <v>2018</v>
      </c>
      <c r="D165" s="14">
        <f>'COCA COLA CO'!L15</f>
        <v>8350</v>
      </c>
    </row>
    <row r="166" spans="1:4" x14ac:dyDescent="0.25">
      <c r="A166" s="13" t="s">
        <v>109</v>
      </c>
      <c r="B166" s="13" t="s">
        <v>24</v>
      </c>
      <c r="C166" s="13">
        <v>2018</v>
      </c>
      <c r="D166" s="14">
        <f>'COCA COLA CO'!L16</f>
        <v>1623</v>
      </c>
    </row>
    <row r="167" spans="1:4" x14ac:dyDescent="0.25">
      <c r="A167" s="13" t="s">
        <v>109</v>
      </c>
      <c r="B167" s="13" t="s">
        <v>25</v>
      </c>
      <c r="C167" s="13">
        <v>2018</v>
      </c>
      <c r="D167" s="14">
        <f>'COCA COLA CO'!L17</f>
        <v>6476</v>
      </c>
    </row>
    <row r="168" spans="1:4" x14ac:dyDescent="0.25">
      <c r="A168" s="13" t="s">
        <v>109</v>
      </c>
      <c r="B168" s="13" t="s">
        <v>26</v>
      </c>
      <c r="C168" s="13">
        <v>2018</v>
      </c>
      <c r="D168" s="14">
        <f>'COCA COLA CO'!L18</f>
        <v>42</v>
      </c>
    </row>
    <row r="169" spans="1:4" x14ac:dyDescent="0.25">
      <c r="A169" s="13" t="s">
        <v>109</v>
      </c>
      <c r="B169" s="13" t="s">
        <v>27</v>
      </c>
      <c r="C169" s="13">
        <v>2018</v>
      </c>
      <c r="D169" s="14">
        <f>'COCA COLA CO'!L19</f>
        <v>6727</v>
      </c>
    </row>
    <row r="170" spans="1:4" x14ac:dyDescent="0.25">
      <c r="A170" s="13" t="s">
        <v>109</v>
      </c>
      <c r="B170" s="13" t="s">
        <v>28</v>
      </c>
      <c r="C170" s="13">
        <v>2018</v>
      </c>
      <c r="D170" s="14">
        <f>'COCA COLA CO'!L20</f>
        <v>-251</v>
      </c>
    </row>
    <row r="171" spans="1:4" x14ac:dyDescent="0.25">
      <c r="A171" s="13" t="s">
        <v>109</v>
      </c>
      <c r="B171" s="13" t="s">
        <v>29</v>
      </c>
      <c r="C171" s="13">
        <v>2018</v>
      </c>
      <c r="D171" s="14">
        <f>'COCA COLA CO'!L21</f>
        <v>6434</v>
      </c>
    </row>
    <row r="172" spans="1:4" x14ac:dyDescent="0.25">
      <c r="A172" s="13" t="s">
        <v>30</v>
      </c>
      <c r="B172" s="13" t="s">
        <v>32</v>
      </c>
      <c r="C172" s="13">
        <v>2009</v>
      </c>
      <c r="D172" s="14">
        <f>'COCA COLA CO'!C26</f>
        <v>7021</v>
      </c>
    </row>
    <row r="173" spans="1:4" x14ac:dyDescent="0.25">
      <c r="A173" s="13" t="s">
        <v>30</v>
      </c>
      <c r="B173" s="13" t="s">
        <v>33</v>
      </c>
      <c r="C173" s="13">
        <v>2009</v>
      </c>
      <c r="D173" s="14">
        <f>'COCA COLA CO'!C27</f>
        <v>2130</v>
      </c>
    </row>
    <row r="174" spans="1:4" x14ac:dyDescent="0.25">
      <c r="A174" s="13" t="s">
        <v>30</v>
      </c>
      <c r="B174" s="13" t="s">
        <v>34</v>
      </c>
      <c r="C174" s="13">
        <v>2009</v>
      </c>
      <c r="D174" s="14">
        <f>'COCA COLA CO'!C28</f>
        <v>9151</v>
      </c>
    </row>
    <row r="175" spans="1:4" x14ac:dyDescent="0.25">
      <c r="A175" s="13" t="s">
        <v>30</v>
      </c>
      <c r="B175" s="13" t="s">
        <v>35</v>
      </c>
      <c r="C175" s="13">
        <v>2009</v>
      </c>
      <c r="D175" s="14">
        <f>'COCA COLA CO'!C29</f>
        <v>62</v>
      </c>
    </row>
    <row r="176" spans="1:4" x14ac:dyDescent="0.25">
      <c r="A176" s="13" t="s">
        <v>30</v>
      </c>
      <c r="B176" s="13" t="s">
        <v>36</v>
      </c>
      <c r="C176" s="13">
        <v>2009</v>
      </c>
      <c r="D176" s="14">
        <f>'COCA COLA CO'!C30</f>
        <v>3758</v>
      </c>
    </row>
    <row r="177" spans="1:4" x14ac:dyDescent="0.25">
      <c r="A177" s="13" t="s">
        <v>30</v>
      </c>
      <c r="B177" s="13" t="s">
        <v>37</v>
      </c>
      <c r="C177" s="13">
        <v>2009</v>
      </c>
      <c r="D177" s="14">
        <f>'COCA COLA CO'!C31</f>
        <v>2354</v>
      </c>
    </row>
    <row r="178" spans="1:4" x14ac:dyDescent="0.25">
      <c r="A178" s="13" t="s">
        <v>30</v>
      </c>
      <c r="B178" s="13" t="s">
        <v>38</v>
      </c>
      <c r="C178" s="13">
        <v>2009</v>
      </c>
      <c r="D178" s="14">
        <f>'COCA COLA CO'!C32</f>
        <v>2226</v>
      </c>
    </row>
    <row r="179" spans="1:4" x14ac:dyDescent="0.25">
      <c r="A179" s="13" t="s">
        <v>30</v>
      </c>
      <c r="B179" s="13" t="s">
        <v>39</v>
      </c>
      <c r="C179" s="13">
        <v>2009</v>
      </c>
      <c r="D179" s="14">
        <f>'COCA COLA CO'!C33</f>
        <v>0</v>
      </c>
    </row>
    <row r="180" spans="1:4" x14ac:dyDescent="0.25">
      <c r="A180" s="13" t="s">
        <v>30</v>
      </c>
      <c r="B180" s="13" t="s">
        <v>39</v>
      </c>
      <c r="C180" s="13">
        <v>2009</v>
      </c>
      <c r="D180" s="14">
        <f>'COCA COLA CO'!C34</f>
        <v>0</v>
      </c>
    </row>
    <row r="181" spans="1:4" x14ac:dyDescent="0.25">
      <c r="A181" s="13" t="s">
        <v>30</v>
      </c>
      <c r="B181" s="13" t="s">
        <v>40</v>
      </c>
      <c r="C181" s="13">
        <v>2009</v>
      </c>
      <c r="D181" s="14">
        <f>'COCA COLA CO'!C35</f>
        <v>17551</v>
      </c>
    </row>
    <row r="182" spans="1:4" x14ac:dyDescent="0.25">
      <c r="A182" s="13" t="s">
        <v>30</v>
      </c>
      <c r="B182" s="13" t="s">
        <v>41</v>
      </c>
      <c r="C182" s="13">
        <v>2009</v>
      </c>
      <c r="D182" s="14">
        <f>'COCA COLA CO'!C36</f>
        <v>6217</v>
      </c>
    </row>
    <row r="183" spans="1:4" x14ac:dyDescent="0.25">
      <c r="A183" s="13" t="s">
        <v>30</v>
      </c>
      <c r="B183" s="13" t="s">
        <v>42</v>
      </c>
      <c r="C183" s="13">
        <v>2009</v>
      </c>
      <c r="D183" s="14">
        <f>'COCA COLA CO'!C37</f>
        <v>538</v>
      </c>
    </row>
    <row r="184" spans="1:4" x14ac:dyDescent="0.25">
      <c r="A184" s="13" t="s">
        <v>30</v>
      </c>
      <c r="B184" s="13" t="s">
        <v>43</v>
      </c>
      <c r="C184" s="13">
        <v>2009</v>
      </c>
      <c r="D184" s="14">
        <f>'COCA COLA CO'!C38</f>
        <v>1976</v>
      </c>
    </row>
    <row r="185" spans="1:4" x14ac:dyDescent="0.25">
      <c r="A185" s="13" t="s">
        <v>30</v>
      </c>
      <c r="B185" s="13" t="s">
        <v>44</v>
      </c>
      <c r="C185" s="13">
        <v>2009</v>
      </c>
      <c r="D185" s="14">
        <f>'COCA COLA CO'!C39</f>
        <v>9561</v>
      </c>
    </row>
    <row r="186" spans="1:4" x14ac:dyDescent="0.25">
      <c r="A186" s="13" t="s">
        <v>30</v>
      </c>
      <c r="B186" s="13" t="s">
        <v>45</v>
      </c>
      <c r="C186" s="13">
        <v>2009</v>
      </c>
      <c r="D186" s="14">
        <f>'COCA COLA CO'!C40</f>
        <v>0</v>
      </c>
    </row>
    <row r="187" spans="1:4" x14ac:dyDescent="0.25">
      <c r="A187" s="13" t="s">
        <v>30</v>
      </c>
      <c r="B187" s="13" t="s">
        <v>46</v>
      </c>
      <c r="C187" s="13">
        <v>2009</v>
      </c>
      <c r="D187" s="14">
        <f>'COCA COLA CO'!C41</f>
        <v>6183</v>
      </c>
    </row>
    <row r="188" spans="1:4" x14ac:dyDescent="0.25">
      <c r="A188" s="13" t="s">
        <v>30</v>
      </c>
      <c r="B188" s="13" t="s">
        <v>47</v>
      </c>
      <c r="C188" s="13">
        <v>2009</v>
      </c>
      <c r="D188" s="14">
        <f>'COCA COLA CO'!C42</f>
        <v>1953</v>
      </c>
    </row>
    <row r="189" spans="1:4" x14ac:dyDescent="0.25">
      <c r="A189" s="13" t="s">
        <v>30</v>
      </c>
      <c r="B189" s="13" t="s">
        <v>48</v>
      </c>
      <c r="C189" s="13">
        <v>2009</v>
      </c>
      <c r="D189" s="14">
        <f>'COCA COLA CO'!C43</f>
        <v>4224</v>
      </c>
    </row>
    <row r="190" spans="1:4" x14ac:dyDescent="0.25">
      <c r="A190" s="13" t="s">
        <v>30</v>
      </c>
      <c r="B190" s="13" t="s">
        <v>49</v>
      </c>
      <c r="C190" s="13">
        <v>2009</v>
      </c>
      <c r="D190" s="14">
        <f>'COCA COLA CO'!C44</f>
        <v>468</v>
      </c>
    </row>
    <row r="191" spans="1:4" x14ac:dyDescent="0.25">
      <c r="A191" s="13" t="s">
        <v>30</v>
      </c>
      <c r="B191" s="13" t="s">
        <v>50</v>
      </c>
      <c r="C191" s="13">
        <v>2009</v>
      </c>
      <c r="D191" s="14">
        <f>'COCA COLA CO'!C45</f>
        <v>48671</v>
      </c>
    </row>
    <row r="192" spans="1:4" x14ac:dyDescent="0.25">
      <c r="A192" s="13" t="s">
        <v>30</v>
      </c>
      <c r="B192" s="13" t="s">
        <v>51</v>
      </c>
      <c r="C192" s="13">
        <v>2009</v>
      </c>
      <c r="D192" s="14">
        <f>'COCA COLA CO'!C46</f>
        <v>0</v>
      </c>
    </row>
    <row r="193" spans="1:4" x14ac:dyDescent="0.25">
      <c r="A193" s="13" t="s">
        <v>30</v>
      </c>
      <c r="B193" s="13" t="s">
        <v>52</v>
      </c>
      <c r="C193" s="13">
        <v>2009</v>
      </c>
      <c r="D193" s="14">
        <f>'COCA COLA CO'!C47</f>
        <v>6657</v>
      </c>
    </row>
    <row r="194" spans="1:4" x14ac:dyDescent="0.25">
      <c r="A194" s="13" t="s">
        <v>30</v>
      </c>
      <c r="B194" s="13" t="s">
        <v>53</v>
      </c>
      <c r="C194" s="13">
        <v>2009</v>
      </c>
      <c r="D194" s="14">
        <f>'COCA COLA CO'!C48</f>
        <v>6749</v>
      </c>
    </row>
    <row r="195" spans="1:4" x14ac:dyDescent="0.25">
      <c r="A195" s="13" t="s">
        <v>30</v>
      </c>
      <c r="B195" s="13" t="s">
        <v>54</v>
      </c>
      <c r="C195" s="13">
        <v>2009</v>
      </c>
      <c r="D195" s="14">
        <f>'COCA COLA CO'!C49</f>
        <v>51</v>
      </c>
    </row>
    <row r="196" spans="1:4" x14ac:dyDescent="0.25">
      <c r="A196" s="13" t="s">
        <v>30</v>
      </c>
      <c r="B196" s="13" t="s">
        <v>55</v>
      </c>
      <c r="C196" s="13">
        <v>2009</v>
      </c>
      <c r="D196" s="14">
        <f>'COCA COLA CO'!C50</f>
        <v>264</v>
      </c>
    </row>
    <row r="197" spans="1:4" x14ac:dyDescent="0.25">
      <c r="A197" s="13" t="s">
        <v>30</v>
      </c>
      <c r="B197" s="13" t="s">
        <v>56</v>
      </c>
      <c r="C197" s="13">
        <v>2009</v>
      </c>
      <c r="D197" s="14">
        <f>'COCA COLA CO'!C51</f>
        <v>0</v>
      </c>
    </row>
    <row r="198" spans="1:4" x14ac:dyDescent="0.25">
      <c r="A198" s="13" t="s">
        <v>30</v>
      </c>
      <c r="B198" s="13" t="s">
        <v>57</v>
      </c>
      <c r="C198" s="13">
        <v>2009</v>
      </c>
      <c r="D198" s="14">
        <f>'COCA COLA CO'!C52</f>
        <v>0</v>
      </c>
    </row>
    <row r="199" spans="1:4" x14ac:dyDescent="0.25">
      <c r="A199" s="13" t="s">
        <v>30</v>
      </c>
      <c r="B199" s="13" t="s">
        <v>58</v>
      </c>
      <c r="C199" s="13">
        <v>2009</v>
      </c>
      <c r="D199" s="14">
        <f>'COCA COLA CO'!C53</f>
        <v>13721</v>
      </c>
    </row>
    <row r="200" spans="1:4" x14ac:dyDescent="0.25">
      <c r="A200" s="13" t="s">
        <v>30</v>
      </c>
      <c r="B200" s="13" t="s">
        <v>59</v>
      </c>
      <c r="C200" s="13">
        <v>2009</v>
      </c>
      <c r="D200" s="14">
        <f>'COCA COLA CO'!C54</f>
        <v>5059</v>
      </c>
    </row>
    <row r="201" spans="1:4" x14ac:dyDescent="0.25">
      <c r="A201" s="13" t="s">
        <v>30</v>
      </c>
      <c r="B201" s="13" t="s">
        <v>60</v>
      </c>
      <c r="C201" s="13">
        <v>2009</v>
      </c>
      <c r="D201" s="14">
        <f>'COCA COLA CO'!C55</f>
        <v>2965</v>
      </c>
    </row>
    <row r="202" spans="1:4" x14ac:dyDescent="0.25">
      <c r="A202" s="13" t="s">
        <v>30</v>
      </c>
      <c r="B202" s="13" t="s">
        <v>61</v>
      </c>
      <c r="C202" s="13">
        <v>2009</v>
      </c>
      <c r="D202" s="14">
        <f>'COCA COLA CO'!C56</f>
        <v>1580</v>
      </c>
    </row>
    <row r="203" spans="1:4" x14ac:dyDescent="0.25">
      <c r="A203" s="13" t="s">
        <v>30</v>
      </c>
      <c r="B203" s="13" t="s">
        <v>62</v>
      </c>
      <c r="C203" s="13">
        <v>2009</v>
      </c>
      <c r="D203" s="14">
        <f>'COCA COLA CO'!C57</f>
        <v>880</v>
      </c>
    </row>
    <row r="204" spans="1:4" x14ac:dyDescent="0.25">
      <c r="A204" s="13" t="s">
        <v>30</v>
      </c>
      <c r="B204" s="13" t="s">
        <v>63</v>
      </c>
      <c r="C204" s="13">
        <v>2009</v>
      </c>
      <c r="D204" s="14">
        <f>'COCA COLA CO'!C58</f>
        <v>8537</v>
      </c>
    </row>
    <row r="205" spans="1:4" x14ac:dyDescent="0.25">
      <c r="A205" s="13" t="s">
        <v>30</v>
      </c>
      <c r="B205" s="13" t="s">
        <v>64</v>
      </c>
      <c r="C205" s="13">
        <v>2009</v>
      </c>
      <c r="D205" s="14">
        <f>'COCA COLA CO'!C59</f>
        <v>41537</v>
      </c>
    </row>
    <row r="206" spans="1:4" x14ac:dyDescent="0.25">
      <c r="A206" s="13" t="s">
        <v>30</v>
      </c>
      <c r="B206" s="13" t="s">
        <v>65</v>
      </c>
      <c r="C206" s="13">
        <v>2009</v>
      </c>
      <c r="D206" s="14">
        <f>'COCA COLA CO'!C60</f>
        <v>-757</v>
      </c>
    </row>
    <row r="207" spans="1:4" x14ac:dyDescent="0.25">
      <c r="A207" s="13" t="s">
        <v>30</v>
      </c>
      <c r="B207" s="13" t="s">
        <v>66</v>
      </c>
      <c r="C207" s="13">
        <v>2009</v>
      </c>
      <c r="D207" s="14">
        <f>'COCA COLA CO'!C61</f>
        <v>-25398</v>
      </c>
    </row>
    <row r="208" spans="1:4" x14ac:dyDescent="0.25">
      <c r="A208" s="13" t="s">
        <v>30</v>
      </c>
      <c r="B208" s="13" t="s">
        <v>67</v>
      </c>
      <c r="C208" s="13">
        <v>2009</v>
      </c>
      <c r="D208" s="14">
        <f>'COCA COLA CO'!C62</f>
        <v>24799</v>
      </c>
    </row>
    <row r="209" spans="1:4" x14ac:dyDescent="0.25">
      <c r="A209" s="13" t="s">
        <v>30</v>
      </c>
      <c r="B209" s="13" t="s">
        <v>68</v>
      </c>
      <c r="C209" s="13">
        <v>2009</v>
      </c>
      <c r="D209" s="14">
        <f>'COCA COLA CO'!C63</f>
        <v>547</v>
      </c>
    </row>
    <row r="210" spans="1:4" x14ac:dyDescent="0.25">
      <c r="A210" s="13" t="s">
        <v>30</v>
      </c>
      <c r="B210" s="13" t="s">
        <v>69</v>
      </c>
      <c r="C210" s="13">
        <v>2009</v>
      </c>
      <c r="D210" s="14">
        <f>'COCA COLA CO'!C64</f>
        <v>25346</v>
      </c>
    </row>
    <row r="211" spans="1:4" x14ac:dyDescent="0.25">
      <c r="A211" s="13" t="s">
        <v>30</v>
      </c>
      <c r="B211" s="13" t="s">
        <v>70</v>
      </c>
      <c r="C211" s="13">
        <v>2009</v>
      </c>
      <c r="D211" s="14">
        <f>'COCA COLA CO'!C65</f>
        <v>48671</v>
      </c>
    </row>
    <row r="212" spans="1:4" x14ac:dyDescent="0.25">
      <c r="A212" s="13" t="s">
        <v>30</v>
      </c>
      <c r="B212" s="13" t="s">
        <v>32</v>
      </c>
      <c r="C212" s="13">
        <v>2010</v>
      </c>
      <c r="D212" s="14">
        <f>'COCA COLA CO'!D26</f>
        <v>8517</v>
      </c>
    </row>
    <row r="213" spans="1:4" x14ac:dyDescent="0.25">
      <c r="A213" s="13" t="s">
        <v>30</v>
      </c>
      <c r="B213" s="13" t="s">
        <v>33</v>
      </c>
      <c r="C213" s="13">
        <v>2010</v>
      </c>
      <c r="D213" s="14">
        <f>'COCA COLA CO'!D27</f>
        <v>2682</v>
      </c>
    </row>
    <row r="214" spans="1:4" x14ac:dyDescent="0.25">
      <c r="A214" s="13" t="s">
        <v>30</v>
      </c>
      <c r="B214" s="13" t="s">
        <v>34</v>
      </c>
      <c r="C214" s="13">
        <v>2010</v>
      </c>
      <c r="D214" s="14">
        <f>'COCA COLA CO'!D28</f>
        <v>11199</v>
      </c>
    </row>
    <row r="215" spans="1:4" x14ac:dyDescent="0.25">
      <c r="A215" s="13" t="s">
        <v>30</v>
      </c>
      <c r="B215" s="13" t="s">
        <v>35</v>
      </c>
      <c r="C215" s="13">
        <v>2010</v>
      </c>
      <c r="D215" s="14">
        <f>'COCA COLA CO'!D29</f>
        <v>138</v>
      </c>
    </row>
    <row r="216" spans="1:4" x14ac:dyDescent="0.25">
      <c r="A216" s="13" t="s">
        <v>30</v>
      </c>
      <c r="B216" s="13" t="s">
        <v>36</v>
      </c>
      <c r="C216" s="13">
        <v>2010</v>
      </c>
      <c r="D216" s="14">
        <f>'COCA COLA CO'!D30</f>
        <v>4430</v>
      </c>
    </row>
    <row r="217" spans="1:4" x14ac:dyDescent="0.25">
      <c r="A217" s="13" t="s">
        <v>30</v>
      </c>
      <c r="B217" s="13" t="s">
        <v>37</v>
      </c>
      <c r="C217" s="13">
        <v>2010</v>
      </c>
      <c r="D217" s="14">
        <f>'COCA COLA CO'!D31</f>
        <v>2650</v>
      </c>
    </row>
    <row r="218" spans="1:4" x14ac:dyDescent="0.25">
      <c r="A218" s="13" t="s">
        <v>30</v>
      </c>
      <c r="B218" s="13" t="s">
        <v>38</v>
      </c>
      <c r="C218" s="13">
        <v>2010</v>
      </c>
      <c r="D218" s="14">
        <f>'COCA COLA CO'!D32</f>
        <v>3162</v>
      </c>
    </row>
    <row r="219" spans="1:4" x14ac:dyDescent="0.25">
      <c r="A219" s="13" t="s">
        <v>30</v>
      </c>
      <c r="B219" s="13" t="s">
        <v>39</v>
      </c>
      <c r="C219" s="13">
        <v>2010</v>
      </c>
      <c r="D219" s="14">
        <f>'COCA COLA CO'!D33</f>
        <v>0</v>
      </c>
    </row>
    <row r="220" spans="1:4" x14ac:dyDescent="0.25">
      <c r="A220" s="13" t="s">
        <v>30</v>
      </c>
      <c r="B220" s="13" t="s">
        <v>39</v>
      </c>
      <c r="C220" s="13">
        <v>2010</v>
      </c>
      <c r="D220" s="14">
        <f>'COCA COLA CO'!D34</f>
        <v>0</v>
      </c>
    </row>
    <row r="221" spans="1:4" x14ac:dyDescent="0.25">
      <c r="A221" s="13" t="s">
        <v>30</v>
      </c>
      <c r="B221" s="13" t="s">
        <v>40</v>
      </c>
      <c r="C221" s="13">
        <v>2010</v>
      </c>
      <c r="D221" s="14">
        <f>'COCA COLA CO'!D35</f>
        <v>21579</v>
      </c>
    </row>
    <row r="222" spans="1:4" x14ac:dyDescent="0.25">
      <c r="A222" s="13" t="s">
        <v>30</v>
      </c>
      <c r="B222" s="13" t="s">
        <v>41</v>
      </c>
      <c r="C222" s="13">
        <v>2010</v>
      </c>
      <c r="D222" s="14">
        <f>'COCA COLA CO'!D36</f>
        <v>6954</v>
      </c>
    </row>
    <row r="223" spans="1:4" x14ac:dyDescent="0.25">
      <c r="A223" s="13" t="s">
        <v>30</v>
      </c>
      <c r="B223" s="13" t="s">
        <v>42</v>
      </c>
      <c r="C223" s="13">
        <v>2010</v>
      </c>
      <c r="D223" s="14">
        <f>'COCA COLA CO'!D37</f>
        <v>631</v>
      </c>
    </row>
    <row r="224" spans="1:4" x14ac:dyDescent="0.25">
      <c r="A224" s="13" t="s">
        <v>30</v>
      </c>
      <c r="B224" s="13" t="s">
        <v>43</v>
      </c>
      <c r="C224" s="13">
        <v>2010</v>
      </c>
      <c r="D224" s="14">
        <f>'COCA COLA CO'!D38</f>
        <v>2121</v>
      </c>
    </row>
    <row r="225" spans="1:4" x14ac:dyDescent="0.25">
      <c r="A225" s="13" t="s">
        <v>30</v>
      </c>
      <c r="B225" s="13" t="s">
        <v>44</v>
      </c>
      <c r="C225" s="13">
        <v>2010</v>
      </c>
      <c r="D225" s="14">
        <f>'COCA COLA CO'!D39</f>
        <v>14727</v>
      </c>
    </row>
    <row r="226" spans="1:4" x14ac:dyDescent="0.25">
      <c r="A226" s="13" t="s">
        <v>30</v>
      </c>
      <c r="B226" s="13" t="s">
        <v>45</v>
      </c>
      <c r="C226" s="13">
        <v>2010</v>
      </c>
      <c r="D226" s="14">
        <f>'COCA COLA CO'!D40</f>
        <v>0</v>
      </c>
    </row>
    <row r="227" spans="1:4" x14ac:dyDescent="0.25">
      <c r="A227" s="13" t="s">
        <v>30</v>
      </c>
      <c r="B227" s="13" t="s">
        <v>46</v>
      </c>
      <c r="C227" s="13">
        <v>2010</v>
      </c>
      <c r="D227" s="14">
        <f>'COCA COLA CO'!D41</f>
        <v>6356</v>
      </c>
    </row>
    <row r="228" spans="1:4" x14ac:dyDescent="0.25">
      <c r="A228" s="13" t="s">
        <v>30</v>
      </c>
      <c r="B228" s="13" t="s">
        <v>47</v>
      </c>
      <c r="C228" s="13">
        <v>2010</v>
      </c>
      <c r="D228" s="14">
        <f>'COCA COLA CO'!D42</f>
        <v>7511</v>
      </c>
    </row>
    <row r="229" spans="1:4" x14ac:dyDescent="0.25">
      <c r="A229" s="13" t="s">
        <v>30</v>
      </c>
      <c r="B229" s="13" t="s">
        <v>48</v>
      </c>
      <c r="C229" s="13">
        <v>2010</v>
      </c>
      <c r="D229" s="14">
        <f>'COCA COLA CO'!D43</f>
        <v>11665</v>
      </c>
    </row>
    <row r="230" spans="1:4" x14ac:dyDescent="0.25">
      <c r="A230" s="13" t="s">
        <v>30</v>
      </c>
      <c r="B230" s="13" t="s">
        <v>49</v>
      </c>
      <c r="C230" s="13">
        <v>2010</v>
      </c>
      <c r="D230" s="14">
        <f>'COCA COLA CO'!D44</f>
        <v>1377</v>
      </c>
    </row>
    <row r="231" spans="1:4" x14ac:dyDescent="0.25">
      <c r="A231" s="13" t="s">
        <v>30</v>
      </c>
      <c r="B231" s="13" t="s">
        <v>50</v>
      </c>
      <c r="C231" s="13">
        <v>2010</v>
      </c>
      <c r="D231" s="14">
        <f>'COCA COLA CO'!D45</f>
        <v>72921</v>
      </c>
    </row>
    <row r="232" spans="1:4" x14ac:dyDescent="0.25">
      <c r="A232" s="13" t="s">
        <v>30</v>
      </c>
      <c r="B232" s="13" t="s">
        <v>51</v>
      </c>
      <c r="C232" s="13">
        <v>2010</v>
      </c>
      <c r="D232" s="14">
        <f>'COCA COLA CO'!D46</f>
        <v>0</v>
      </c>
    </row>
    <row r="233" spans="1:4" x14ac:dyDescent="0.25">
      <c r="A233" s="13" t="s">
        <v>30</v>
      </c>
      <c r="B233" s="13" t="s">
        <v>52</v>
      </c>
      <c r="C233" s="13">
        <v>2010</v>
      </c>
      <c r="D233" s="14">
        <f>'COCA COLA CO'!D47</f>
        <v>8859</v>
      </c>
    </row>
    <row r="234" spans="1:4" x14ac:dyDescent="0.25">
      <c r="A234" s="13" t="s">
        <v>30</v>
      </c>
      <c r="B234" s="13" t="s">
        <v>53</v>
      </c>
      <c r="C234" s="13">
        <v>2010</v>
      </c>
      <c r="D234" s="14">
        <f>'COCA COLA CO'!D48</f>
        <v>8100</v>
      </c>
    </row>
    <row r="235" spans="1:4" x14ac:dyDescent="0.25">
      <c r="A235" s="13" t="s">
        <v>30</v>
      </c>
      <c r="B235" s="13" t="s">
        <v>54</v>
      </c>
      <c r="C235" s="13">
        <v>2010</v>
      </c>
      <c r="D235" s="14">
        <f>'COCA COLA CO'!D49</f>
        <v>1276</v>
      </c>
    </row>
    <row r="236" spans="1:4" x14ac:dyDescent="0.25">
      <c r="A236" s="13" t="s">
        <v>30</v>
      </c>
      <c r="B236" s="13" t="s">
        <v>55</v>
      </c>
      <c r="C236" s="13">
        <v>2010</v>
      </c>
      <c r="D236" s="14">
        <f>'COCA COLA CO'!D50</f>
        <v>273</v>
      </c>
    </row>
    <row r="237" spans="1:4" x14ac:dyDescent="0.25">
      <c r="A237" s="13" t="s">
        <v>30</v>
      </c>
      <c r="B237" s="13" t="s">
        <v>56</v>
      </c>
      <c r="C237" s="13">
        <v>2010</v>
      </c>
      <c r="D237" s="14">
        <f>'COCA COLA CO'!D51</f>
        <v>0</v>
      </c>
    </row>
    <row r="238" spans="1:4" x14ac:dyDescent="0.25">
      <c r="A238" s="13" t="s">
        <v>30</v>
      </c>
      <c r="B238" s="13" t="s">
        <v>57</v>
      </c>
      <c r="C238" s="13">
        <v>2010</v>
      </c>
      <c r="D238" s="14">
        <f>'COCA COLA CO'!D52</f>
        <v>0</v>
      </c>
    </row>
    <row r="239" spans="1:4" x14ac:dyDescent="0.25">
      <c r="A239" s="13" t="s">
        <v>30</v>
      </c>
      <c r="B239" s="13" t="s">
        <v>58</v>
      </c>
      <c r="C239" s="13">
        <v>2010</v>
      </c>
      <c r="D239" s="14">
        <f>'COCA COLA CO'!D53</f>
        <v>18508</v>
      </c>
    </row>
    <row r="240" spans="1:4" x14ac:dyDescent="0.25">
      <c r="A240" s="13" t="s">
        <v>30</v>
      </c>
      <c r="B240" s="13" t="s">
        <v>59</v>
      </c>
      <c r="C240" s="13">
        <v>2010</v>
      </c>
      <c r="D240" s="14">
        <f>'COCA COLA CO'!D54</f>
        <v>14041</v>
      </c>
    </row>
    <row r="241" spans="1:4" x14ac:dyDescent="0.25">
      <c r="A241" s="13" t="s">
        <v>30</v>
      </c>
      <c r="B241" s="13" t="s">
        <v>60</v>
      </c>
      <c r="C241" s="13">
        <v>2010</v>
      </c>
      <c r="D241" s="14">
        <f>'COCA COLA CO'!D55</f>
        <v>4794</v>
      </c>
    </row>
    <row r="242" spans="1:4" x14ac:dyDescent="0.25">
      <c r="A242" s="13" t="s">
        <v>30</v>
      </c>
      <c r="B242" s="13" t="s">
        <v>61</v>
      </c>
      <c r="C242" s="13">
        <v>2010</v>
      </c>
      <c r="D242" s="14">
        <f>'COCA COLA CO'!D56</f>
        <v>4261</v>
      </c>
    </row>
    <row r="243" spans="1:4" x14ac:dyDescent="0.25">
      <c r="A243" s="13" t="s">
        <v>30</v>
      </c>
      <c r="B243" s="13" t="s">
        <v>62</v>
      </c>
      <c r="C243" s="13">
        <v>2010</v>
      </c>
      <c r="D243" s="14">
        <f>'COCA COLA CO'!D57</f>
        <v>880</v>
      </c>
    </row>
    <row r="244" spans="1:4" x14ac:dyDescent="0.25">
      <c r="A244" s="13" t="s">
        <v>30</v>
      </c>
      <c r="B244" s="13" t="s">
        <v>63</v>
      </c>
      <c r="C244" s="13">
        <v>2010</v>
      </c>
      <c r="D244" s="14">
        <f>'COCA COLA CO'!D58</f>
        <v>10057</v>
      </c>
    </row>
    <row r="245" spans="1:4" x14ac:dyDescent="0.25">
      <c r="A245" s="13" t="s">
        <v>30</v>
      </c>
      <c r="B245" s="13" t="s">
        <v>64</v>
      </c>
      <c r="C245" s="13">
        <v>2010</v>
      </c>
      <c r="D245" s="14">
        <f>'COCA COLA CO'!D59</f>
        <v>49278</v>
      </c>
    </row>
    <row r="246" spans="1:4" x14ac:dyDescent="0.25">
      <c r="A246" s="13" t="s">
        <v>30</v>
      </c>
      <c r="B246" s="13" t="s">
        <v>65</v>
      </c>
      <c r="C246" s="13">
        <v>2010</v>
      </c>
      <c r="D246" s="14">
        <f>'COCA COLA CO'!D60</f>
        <v>-1450</v>
      </c>
    </row>
    <row r="247" spans="1:4" x14ac:dyDescent="0.25">
      <c r="A247" s="13" t="s">
        <v>30</v>
      </c>
      <c r="B247" s="13" t="s">
        <v>66</v>
      </c>
      <c r="C247" s="13">
        <v>2010</v>
      </c>
      <c r="D247" s="14">
        <f>'COCA COLA CO'!D61</f>
        <v>-27762</v>
      </c>
    </row>
    <row r="248" spans="1:4" x14ac:dyDescent="0.25">
      <c r="A248" s="13" t="s">
        <v>30</v>
      </c>
      <c r="B248" s="13" t="s">
        <v>67</v>
      </c>
      <c r="C248" s="13">
        <v>2010</v>
      </c>
      <c r="D248" s="14">
        <f>'COCA COLA CO'!D62</f>
        <v>31003</v>
      </c>
    </row>
    <row r="249" spans="1:4" x14ac:dyDescent="0.25">
      <c r="A249" s="13" t="s">
        <v>30</v>
      </c>
      <c r="B249" s="13" t="s">
        <v>68</v>
      </c>
      <c r="C249" s="13">
        <v>2010</v>
      </c>
      <c r="D249" s="14">
        <f>'COCA COLA CO'!D63</f>
        <v>314</v>
      </c>
    </row>
    <row r="250" spans="1:4" x14ac:dyDescent="0.25">
      <c r="A250" s="13" t="s">
        <v>30</v>
      </c>
      <c r="B250" s="13" t="s">
        <v>69</v>
      </c>
      <c r="C250" s="13">
        <v>2010</v>
      </c>
      <c r="D250" s="14">
        <f>'COCA COLA CO'!D64</f>
        <v>31317</v>
      </c>
    </row>
    <row r="251" spans="1:4" x14ac:dyDescent="0.25">
      <c r="A251" s="13" t="s">
        <v>30</v>
      </c>
      <c r="B251" s="13" t="s">
        <v>70</v>
      </c>
      <c r="C251" s="13">
        <v>2010</v>
      </c>
      <c r="D251" s="14">
        <f>'COCA COLA CO'!D65</f>
        <v>72921</v>
      </c>
    </row>
    <row r="252" spans="1:4" x14ac:dyDescent="0.25">
      <c r="A252" s="13" t="s">
        <v>30</v>
      </c>
      <c r="B252" s="13" t="s">
        <v>32</v>
      </c>
      <c r="C252" s="13">
        <v>2011</v>
      </c>
      <c r="D252" s="14">
        <f>'COCA COLA CO'!E26</f>
        <v>12803</v>
      </c>
    </row>
    <row r="253" spans="1:4" x14ac:dyDescent="0.25">
      <c r="A253" s="13" t="s">
        <v>30</v>
      </c>
      <c r="B253" s="13" t="s">
        <v>33</v>
      </c>
      <c r="C253" s="13">
        <v>2011</v>
      </c>
      <c r="D253" s="14">
        <f>'COCA COLA CO'!E27</f>
        <v>1088</v>
      </c>
    </row>
    <row r="254" spans="1:4" x14ac:dyDescent="0.25">
      <c r="A254" s="13" t="s">
        <v>30</v>
      </c>
      <c r="B254" s="13" t="s">
        <v>34</v>
      </c>
      <c r="C254" s="13">
        <v>2011</v>
      </c>
      <c r="D254" s="14">
        <f>'COCA COLA CO'!E28</f>
        <v>13891</v>
      </c>
    </row>
    <row r="255" spans="1:4" x14ac:dyDescent="0.25">
      <c r="A255" s="13" t="s">
        <v>30</v>
      </c>
      <c r="B255" s="13" t="s">
        <v>35</v>
      </c>
      <c r="C255" s="13">
        <v>2011</v>
      </c>
      <c r="D255" s="14">
        <f>'COCA COLA CO'!E29</f>
        <v>144</v>
      </c>
    </row>
    <row r="256" spans="1:4" x14ac:dyDescent="0.25">
      <c r="A256" s="13" t="s">
        <v>30</v>
      </c>
      <c r="B256" s="13" t="s">
        <v>36</v>
      </c>
      <c r="C256" s="13">
        <v>2011</v>
      </c>
      <c r="D256" s="14">
        <f>'COCA COLA CO'!E30</f>
        <v>4920</v>
      </c>
    </row>
    <row r="257" spans="1:4" x14ac:dyDescent="0.25">
      <c r="A257" s="13" t="s">
        <v>30</v>
      </c>
      <c r="B257" s="13" t="s">
        <v>37</v>
      </c>
      <c r="C257" s="13">
        <v>2011</v>
      </c>
      <c r="D257" s="14">
        <f>'COCA COLA CO'!E31</f>
        <v>3092</v>
      </c>
    </row>
    <row r="258" spans="1:4" x14ac:dyDescent="0.25">
      <c r="A258" s="13" t="s">
        <v>30</v>
      </c>
      <c r="B258" s="13" t="s">
        <v>38</v>
      </c>
      <c r="C258" s="13">
        <v>2011</v>
      </c>
      <c r="D258" s="14">
        <f>'COCA COLA CO'!E32</f>
        <v>3450</v>
      </c>
    </row>
    <row r="259" spans="1:4" x14ac:dyDescent="0.25">
      <c r="A259" s="13" t="s">
        <v>30</v>
      </c>
      <c r="B259" s="13" t="s">
        <v>39</v>
      </c>
      <c r="C259" s="13">
        <v>2011</v>
      </c>
      <c r="D259" s="14">
        <f>'COCA COLA CO'!E33</f>
        <v>0</v>
      </c>
    </row>
    <row r="260" spans="1:4" x14ac:dyDescent="0.25">
      <c r="A260" s="13" t="s">
        <v>30</v>
      </c>
      <c r="B260" s="13" t="s">
        <v>39</v>
      </c>
      <c r="C260" s="13">
        <v>2011</v>
      </c>
      <c r="D260" s="14">
        <f>'COCA COLA CO'!E34</f>
        <v>0</v>
      </c>
    </row>
    <row r="261" spans="1:4" x14ac:dyDescent="0.25">
      <c r="A261" s="13" t="s">
        <v>30</v>
      </c>
      <c r="B261" s="13" t="s">
        <v>40</v>
      </c>
      <c r="C261" s="13">
        <v>2011</v>
      </c>
      <c r="D261" s="14">
        <f>'COCA COLA CO'!E35</f>
        <v>25497</v>
      </c>
    </row>
    <row r="262" spans="1:4" x14ac:dyDescent="0.25">
      <c r="A262" s="13" t="s">
        <v>30</v>
      </c>
      <c r="B262" s="13" t="s">
        <v>41</v>
      </c>
      <c r="C262" s="13">
        <v>2011</v>
      </c>
      <c r="D262" s="14">
        <f>'COCA COLA CO'!E36</f>
        <v>7233</v>
      </c>
    </row>
    <row r="263" spans="1:4" x14ac:dyDescent="0.25">
      <c r="A263" s="13" t="s">
        <v>30</v>
      </c>
      <c r="B263" s="13" t="s">
        <v>42</v>
      </c>
      <c r="C263" s="13">
        <v>2011</v>
      </c>
      <c r="D263" s="14">
        <f>'COCA COLA CO'!E37</f>
        <v>1141</v>
      </c>
    </row>
    <row r="264" spans="1:4" x14ac:dyDescent="0.25">
      <c r="A264" s="13" t="s">
        <v>30</v>
      </c>
      <c r="B264" s="13" t="s">
        <v>43</v>
      </c>
      <c r="C264" s="13">
        <v>2011</v>
      </c>
      <c r="D264" s="14">
        <f>'COCA COLA CO'!E38</f>
        <v>3495</v>
      </c>
    </row>
    <row r="265" spans="1:4" x14ac:dyDescent="0.25">
      <c r="A265" s="13" t="s">
        <v>30</v>
      </c>
      <c r="B265" s="13" t="s">
        <v>44</v>
      </c>
      <c r="C265" s="13">
        <v>2011</v>
      </c>
      <c r="D265" s="14">
        <f>'COCA COLA CO'!E39</f>
        <v>14939</v>
      </c>
    </row>
    <row r="266" spans="1:4" x14ac:dyDescent="0.25">
      <c r="A266" s="13" t="s">
        <v>30</v>
      </c>
      <c r="B266" s="13" t="s">
        <v>45</v>
      </c>
      <c r="C266" s="13">
        <v>2011</v>
      </c>
      <c r="D266" s="14">
        <f>'COCA COLA CO'!E40</f>
        <v>0</v>
      </c>
    </row>
    <row r="267" spans="1:4" x14ac:dyDescent="0.25">
      <c r="A267" s="13" t="s">
        <v>30</v>
      </c>
      <c r="B267" s="13" t="s">
        <v>46</v>
      </c>
      <c r="C267" s="13">
        <v>2011</v>
      </c>
      <c r="D267" s="14">
        <f>'COCA COLA CO'!E41</f>
        <v>6430</v>
      </c>
    </row>
    <row r="268" spans="1:4" x14ac:dyDescent="0.25">
      <c r="A268" s="13" t="s">
        <v>30</v>
      </c>
      <c r="B268" s="13" t="s">
        <v>47</v>
      </c>
      <c r="C268" s="13">
        <v>2011</v>
      </c>
      <c r="D268" s="14">
        <f>'COCA COLA CO'!E42</f>
        <v>7770</v>
      </c>
    </row>
    <row r="269" spans="1:4" x14ac:dyDescent="0.25">
      <c r="A269" s="13" t="s">
        <v>30</v>
      </c>
      <c r="B269" s="13" t="s">
        <v>48</v>
      </c>
      <c r="C269" s="13">
        <v>2011</v>
      </c>
      <c r="D269" s="14">
        <f>'COCA COLA CO'!E43</f>
        <v>12219</v>
      </c>
    </row>
    <row r="270" spans="1:4" x14ac:dyDescent="0.25">
      <c r="A270" s="13" t="s">
        <v>30</v>
      </c>
      <c r="B270" s="13" t="s">
        <v>49</v>
      </c>
      <c r="C270" s="13">
        <v>2011</v>
      </c>
      <c r="D270" s="14">
        <f>'COCA COLA CO'!E44</f>
        <v>1250</v>
      </c>
    </row>
    <row r="271" spans="1:4" x14ac:dyDescent="0.25">
      <c r="A271" s="13" t="s">
        <v>30</v>
      </c>
      <c r="B271" s="13" t="s">
        <v>50</v>
      </c>
      <c r="C271" s="13">
        <v>2011</v>
      </c>
      <c r="D271" s="14">
        <f>'COCA COLA CO'!E45</f>
        <v>79974</v>
      </c>
    </row>
    <row r="272" spans="1:4" x14ac:dyDescent="0.25">
      <c r="A272" s="13" t="s">
        <v>30</v>
      </c>
      <c r="B272" s="13" t="s">
        <v>51</v>
      </c>
      <c r="C272" s="13">
        <v>2011</v>
      </c>
      <c r="D272" s="14">
        <f>'COCA COLA CO'!E46</f>
        <v>0</v>
      </c>
    </row>
    <row r="273" spans="1:4" x14ac:dyDescent="0.25">
      <c r="A273" s="13" t="s">
        <v>30</v>
      </c>
      <c r="B273" s="13" t="s">
        <v>52</v>
      </c>
      <c r="C273" s="13">
        <v>2011</v>
      </c>
      <c r="D273" s="14">
        <f>'COCA COLA CO'!E47</f>
        <v>9009</v>
      </c>
    </row>
    <row r="274" spans="1:4" x14ac:dyDescent="0.25">
      <c r="A274" s="13" t="s">
        <v>30</v>
      </c>
      <c r="B274" s="13" t="s">
        <v>53</v>
      </c>
      <c r="C274" s="13">
        <v>2011</v>
      </c>
      <c r="D274" s="14">
        <f>'COCA COLA CO'!E48</f>
        <v>12871</v>
      </c>
    </row>
    <row r="275" spans="1:4" x14ac:dyDescent="0.25">
      <c r="A275" s="13" t="s">
        <v>30</v>
      </c>
      <c r="B275" s="13" t="s">
        <v>54</v>
      </c>
      <c r="C275" s="13">
        <v>2011</v>
      </c>
      <c r="D275" s="14">
        <f>'COCA COLA CO'!E49</f>
        <v>2041</v>
      </c>
    </row>
    <row r="276" spans="1:4" x14ac:dyDescent="0.25">
      <c r="A276" s="13" t="s">
        <v>30</v>
      </c>
      <c r="B276" s="13" t="s">
        <v>55</v>
      </c>
      <c r="C276" s="13">
        <v>2011</v>
      </c>
      <c r="D276" s="14">
        <f>'COCA COLA CO'!E50</f>
        <v>362</v>
      </c>
    </row>
    <row r="277" spans="1:4" x14ac:dyDescent="0.25">
      <c r="A277" s="13" t="s">
        <v>30</v>
      </c>
      <c r="B277" s="13" t="s">
        <v>56</v>
      </c>
      <c r="C277" s="13">
        <v>2011</v>
      </c>
      <c r="D277" s="14">
        <f>'COCA COLA CO'!E51</f>
        <v>0</v>
      </c>
    </row>
    <row r="278" spans="1:4" x14ac:dyDescent="0.25">
      <c r="A278" s="13" t="s">
        <v>30</v>
      </c>
      <c r="B278" s="13" t="s">
        <v>57</v>
      </c>
      <c r="C278" s="13">
        <v>2011</v>
      </c>
      <c r="D278" s="14">
        <f>'COCA COLA CO'!E52</f>
        <v>0</v>
      </c>
    </row>
    <row r="279" spans="1:4" x14ac:dyDescent="0.25">
      <c r="A279" s="13" t="s">
        <v>30</v>
      </c>
      <c r="B279" s="13" t="s">
        <v>58</v>
      </c>
      <c r="C279" s="13">
        <v>2011</v>
      </c>
      <c r="D279" s="14">
        <f>'COCA COLA CO'!E53</f>
        <v>24283</v>
      </c>
    </row>
    <row r="280" spans="1:4" x14ac:dyDescent="0.25">
      <c r="A280" s="13" t="s">
        <v>30</v>
      </c>
      <c r="B280" s="13" t="s">
        <v>59</v>
      </c>
      <c r="C280" s="13">
        <v>2011</v>
      </c>
      <c r="D280" s="14">
        <f>'COCA COLA CO'!E54</f>
        <v>13656</v>
      </c>
    </row>
    <row r="281" spans="1:4" x14ac:dyDescent="0.25">
      <c r="A281" s="13" t="s">
        <v>30</v>
      </c>
      <c r="B281" s="13" t="s">
        <v>60</v>
      </c>
      <c r="C281" s="13">
        <v>2011</v>
      </c>
      <c r="D281" s="14">
        <f>'COCA COLA CO'!E55</f>
        <v>5420</v>
      </c>
    </row>
    <row r="282" spans="1:4" x14ac:dyDescent="0.25">
      <c r="A282" s="13" t="s">
        <v>30</v>
      </c>
      <c r="B282" s="13" t="s">
        <v>61</v>
      </c>
      <c r="C282" s="13">
        <v>2011</v>
      </c>
      <c r="D282" s="14">
        <f>'COCA COLA CO'!E56</f>
        <v>4694</v>
      </c>
    </row>
    <row r="283" spans="1:4" x14ac:dyDescent="0.25">
      <c r="A283" s="13" t="s">
        <v>30</v>
      </c>
      <c r="B283" s="13" t="s">
        <v>62</v>
      </c>
      <c r="C283" s="13">
        <v>2011</v>
      </c>
      <c r="D283" s="14">
        <f>'COCA COLA CO'!E57</f>
        <v>1760</v>
      </c>
    </row>
    <row r="284" spans="1:4" x14ac:dyDescent="0.25">
      <c r="A284" s="13" t="s">
        <v>30</v>
      </c>
      <c r="B284" s="13" t="s">
        <v>63</v>
      </c>
      <c r="C284" s="13">
        <v>2011</v>
      </c>
      <c r="D284" s="14">
        <f>'COCA COLA CO'!E58</f>
        <v>10332</v>
      </c>
    </row>
    <row r="285" spans="1:4" x14ac:dyDescent="0.25">
      <c r="A285" s="13" t="s">
        <v>30</v>
      </c>
      <c r="B285" s="13" t="s">
        <v>64</v>
      </c>
      <c r="C285" s="13">
        <v>2011</v>
      </c>
      <c r="D285" s="14">
        <f>'COCA COLA CO'!E59</f>
        <v>53621</v>
      </c>
    </row>
    <row r="286" spans="1:4" x14ac:dyDescent="0.25">
      <c r="A286" s="13" t="s">
        <v>30</v>
      </c>
      <c r="B286" s="13" t="s">
        <v>65</v>
      </c>
      <c r="C286" s="13">
        <v>2011</v>
      </c>
      <c r="D286" s="14">
        <f>'COCA COLA CO'!E60</f>
        <v>-2774</v>
      </c>
    </row>
    <row r="287" spans="1:4" x14ac:dyDescent="0.25">
      <c r="A287" s="13" t="s">
        <v>30</v>
      </c>
      <c r="B287" s="13" t="s">
        <v>66</v>
      </c>
      <c r="C287" s="13">
        <v>2011</v>
      </c>
      <c r="D287" s="14">
        <f>'COCA COLA CO'!E61</f>
        <v>-31304</v>
      </c>
    </row>
    <row r="288" spans="1:4" x14ac:dyDescent="0.25">
      <c r="A288" s="13" t="s">
        <v>30</v>
      </c>
      <c r="B288" s="13" t="s">
        <v>67</v>
      </c>
      <c r="C288" s="13">
        <v>2011</v>
      </c>
      <c r="D288" s="14">
        <f>'COCA COLA CO'!E62</f>
        <v>31635</v>
      </c>
    </row>
    <row r="289" spans="1:4" x14ac:dyDescent="0.25">
      <c r="A289" s="13" t="s">
        <v>30</v>
      </c>
      <c r="B289" s="13" t="s">
        <v>68</v>
      </c>
      <c r="C289" s="13">
        <v>2011</v>
      </c>
      <c r="D289" s="14">
        <f>'COCA COLA CO'!E63</f>
        <v>286</v>
      </c>
    </row>
    <row r="290" spans="1:4" x14ac:dyDescent="0.25">
      <c r="A290" s="13" t="s">
        <v>30</v>
      </c>
      <c r="B290" s="13" t="s">
        <v>69</v>
      </c>
      <c r="C290" s="13">
        <v>2011</v>
      </c>
      <c r="D290" s="14">
        <f>'COCA COLA CO'!E64</f>
        <v>31921</v>
      </c>
    </row>
    <row r="291" spans="1:4" x14ac:dyDescent="0.25">
      <c r="A291" s="13" t="s">
        <v>30</v>
      </c>
      <c r="B291" s="13" t="s">
        <v>70</v>
      </c>
      <c r="C291" s="13">
        <v>2011</v>
      </c>
      <c r="D291" s="14">
        <f>'COCA COLA CO'!E65</f>
        <v>79974</v>
      </c>
    </row>
    <row r="292" spans="1:4" x14ac:dyDescent="0.25">
      <c r="A292" s="13" t="s">
        <v>30</v>
      </c>
      <c r="B292" s="13" t="s">
        <v>32</v>
      </c>
      <c r="C292" s="13">
        <v>2012</v>
      </c>
      <c r="D292" s="14">
        <f>'COCA COLA CO'!F26</f>
        <v>8442</v>
      </c>
    </row>
    <row r="293" spans="1:4" x14ac:dyDescent="0.25">
      <c r="A293" s="13" t="s">
        <v>30</v>
      </c>
      <c r="B293" s="13" t="s">
        <v>33</v>
      </c>
      <c r="C293" s="13">
        <v>2012</v>
      </c>
      <c r="D293" s="14">
        <f>'COCA COLA CO'!F27</f>
        <v>5017</v>
      </c>
    </row>
    <row r="294" spans="1:4" x14ac:dyDescent="0.25">
      <c r="A294" s="13" t="s">
        <v>30</v>
      </c>
      <c r="B294" s="13" t="s">
        <v>34</v>
      </c>
      <c r="C294" s="13">
        <v>2012</v>
      </c>
      <c r="D294" s="14">
        <f>'COCA COLA CO'!F28</f>
        <v>13459</v>
      </c>
    </row>
    <row r="295" spans="1:4" x14ac:dyDescent="0.25">
      <c r="A295" s="13" t="s">
        <v>30</v>
      </c>
      <c r="B295" s="13" t="s">
        <v>35</v>
      </c>
      <c r="C295" s="13">
        <v>2012</v>
      </c>
      <c r="D295" s="14">
        <f>'COCA COLA CO'!F29</f>
        <v>3092</v>
      </c>
    </row>
    <row r="296" spans="1:4" x14ac:dyDescent="0.25">
      <c r="A296" s="13" t="s">
        <v>30</v>
      </c>
      <c r="B296" s="13" t="s">
        <v>36</v>
      </c>
      <c r="C296" s="13">
        <v>2012</v>
      </c>
      <c r="D296" s="14">
        <f>'COCA COLA CO'!F30</f>
        <v>4759</v>
      </c>
    </row>
    <row r="297" spans="1:4" x14ac:dyDescent="0.25">
      <c r="A297" s="13" t="s">
        <v>30</v>
      </c>
      <c r="B297" s="13" t="s">
        <v>37</v>
      </c>
      <c r="C297" s="13">
        <v>2012</v>
      </c>
      <c r="D297" s="14">
        <f>'COCA COLA CO'!F31</f>
        <v>3264</v>
      </c>
    </row>
    <row r="298" spans="1:4" x14ac:dyDescent="0.25">
      <c r="A298" s="13" t="s">
        <v>30</v>
      </c>
      <c r="B298" s="13" t="s">
        <v>38</v>
      </c>
      <c r="C298" s="13">
        <v>2012</v>
      </c>
      <c r="D298" s="14">
        <f>'COCA COLA CO'!F32</f>
        <v>2781</v>
      </c>
    </row>
    <row r="299" spans="1:4" x14ac:dyDescent="0.25">
      <c r="A299" s="13" t="s">
        <v>30</v>
      </c>
      <c r="B299" s="13" t="s">
        <v>39</v>
      </c>
      <c r="C299" s="13">
        <v>2012</v>
      </c>
      <c r="D299" s="14">
        <f>'COCA COLA CO'!F33</f>
        <v>2973</v>
      </c>
    </row>
    <row r="300" spans="1:4" x14ac:dyDescent="0.25">
      <c r="A300" s="13" t="s">
        <v>30</v>
      </c>
      <c r="B300" s="13" t="s">
        <v>39</v>
      </c>
      <c r="C300" s="13">
        <v>2012</v>
      </c>
      <c r="D300" s="14">
        <f>'COCA COLA CO'!F34</f>
        <v>0</v>
      </c>
    </row>
    <row r="301" spans="1:4" x14ac:dyDescent="0.25">
      <c r="A301" s="13" t="s">
        <v>30</v>
      </c>
      <c r="B301" s="13" t="s">
        <v>40</v>
      </c>
      <c r="C301" s="13">
        <v>2012</v>
      </c>
      <c r="D301" s="14">
        <f>'COCA COLA CO'!F35</f>
        <v>30328</v>
      </c>
    </row>
    <row r="302" spans="1:4" x14ac:dyDescent="0.25">
      <c r="A302" s="13" t="s">
        <v>30</v>
      </c>
      <c r="B302" s="13" t="s">
        <v>41</v>
      </c>
      <c r="C302" s="13">
        <v>2012</v>
      </c>
      <c r="D302" s="14">
        <f>'COCA COLA CO'!F36</f>
        <v>9216</v>
      </c>
    </row>
    <row r="303" spans="1:4" x14ac:dyDescent="0.25">
      <c r="A303" s="13" t="s">
        <v>30</v>
      </c>
      <c r="B303" s="13" t="s">
        <v>42</v>
      </c>
      <c r="C303" s="13">
        <v>2012</v>
      </c>
      <c r="D303" s="14">
        <f>'COCA COLA CO'!F37</f>
        <v>1232</v>
      </c>
    </row>
    <row r="304" spans="1:4" x14ac:dyDescent="0.25">
      <c r="A304" s="13" t="s">
        <v>30</v>
      </c>
      <c r="B304" s="13" t="s">
        <v>43</v>
      </c>
      <c r="C304" s="13">
        <v>2012</v>
      </c>
      <c r="D304" s="14">
        <f>'COCA COLA CO'!F38</f>
        <v>3585</v>
      </c>
    </row>
    <row r="305" spans="1:4" x14ac:dyDescent="0.25">
      <c r="A305" s="13" t="s">
        <v>30</v>
      </c>
      <c r="B305" s="13" t="s">
        <v>44</v>
      </c>
      <c r="C305" s="13">
        <v>2012</v>
      </c>
      <c r="D305" s="14">
        <f>'COCA COLA CO'!F39</f>
        <v>14476</v>
      </c>
    </row>
    <row r="306" spans="1:4" x14ac:dyDescent="0.25">
      <c r="A306" s="13" t="s">
        <v>30</v>
      </c>
      <c r="B306" s="13" t="s">
        <v>45</v>
      </c>
      <c r="C306" s="13">
        <v>2012</v>
      </c>
      <c r="D306" s="14">
        <f>'COCA COLA CO'!F40</f>
        <v>0</v>
      </c>
    </row>
    <row r="307" spans="1:4" x14ac:dyDescent="0.25">
      <c r="A307" s="13" t="s">
        <v>30</v>
      </c>
      <c r="B307" s="13" t="s">
        <v>46</v>
      </c>
      <c r="C307" s="13">
        <v>2012</v>
      </c>
      <c r="D307" s="14">
        <f>'COCA COLA CO'!F41</f>
        <v>6527</v>
      </c>
    </row>
    <row r="308" spans="1:4" x14ac:dyDescent="0.25">
      <c r="A308" s="13" t="s">
        <v>30</v>
      </c>
      <c r="B308" s="13" t="s">
        <v>47</v>
      </c>
      <c r="C308" s="13">
        <v>2012</v>
      </c>
      <c r="D308" s="14">
        <f>'COCA COLA CO'!F42</f>
        <v>7405</v>
      </c>
    </row>
    <row r="309" spans="1:4" x14ac:dyDescent="0.25">
      <c r="A309" s="13" t="s">
        <v>30</v>
      </c>
      <c r="B309" s="13" t="s">
        <v>48</v>
      </c>
      <c r="C309" s="13">
        <v>2012</v>
      </c>
      <c r="D309" s="14">
        <f>'COCA COLA CO'!F43</f>
        <v>12255</v>
      </c>
    </row>
    <row r="310" spans="1:4" x14ac:dyDescent="0.25">
      <c r="A310" s="13" t="s">
        <v>30</v>
      </c>
      <c r="B310" s="13" t="s">
        <v>49</v>
      </c>
      <c r="C310" s="13">
        <v>2012</v>
      </c>
      <c r="D310" s="14">
        <f>'COCA COLA CO'!F44</f>
        <v>1150</v>
      </c>
    </row>
    <row r="311" spans="1:4" x14ac:dyDescent="0.25">
      <c r="A311" s="13" t="s">
        <v>30</v>
      </c>
      <c r="B311" s="13" t="s">
        <v>50</v>
      </c>
      <c r="C311" s="13">
        <v>2012</v>
      </c>
      <c r="D311" s="14">
        <f>'COCA COLA CO'!F45</f>
        <v>86174</v>
      </c>
    </row>
    <row r="312" spans="1:4" x14ac:dyDescent="0.25">
      <c r="A312" s="13" t="s">
        <v>30</v>
      </c>
      <c r="B312" s="13" t="s">
        <v>51</v>
      </c>
      <c r="C312" s="13">
        <v>2012</v>
      </c>
      <c r="D312" s="14">
        <f>'COCA COLA CO'!F46</f>
        <v>0</v>
      </c>
    </row>
    <row r="313" spans="1:4" x14ac:dyDescent="0.25">
      <c r="A313" s="13" t="s">
        <v>30</v>
      </c>
      <c r="B313" s="13" t="s">
        <v>52</v>
      </c>
      <c r="C313" s="13">
        <v>2012</v>
      </c>
      <c r="D313" s="14">
        <f>'COCA COLA CO'!F47</f>
        <v>8680</v>
      </c>
    </row>
    <row r="314" spans="1:4" x14ac:dyDescent="0.25">
      <c r="A314" s="13" t="s">
        <v>30</v>
      </c>
      <c r="B314" s="13" t="s">
        <v>53</v>
      </c>
      <c r="C314" s="13">
        <v>2012</v>
      </c>
      <c r="D314" s="14">
        <f>'COCA COLA CO'!F48</f>
        <v>16297</v>
      </c>
    </row>
    <row r="315" spans="1:4" x14ac:dyDescent="0.25">
      <c r="A315" s="13" t="s">
        <v>30</v>
      </c>
      <c r="B315" s="13" t="s">
        <v>54</v>
      </c>
      <c r="C315" s="13">
        <v>2012</v>
      </c>
      <c r="D315" s="14">
        <f>'COCA COLA CO'!F49</f>
        <v>1577</v>
      </c>
    </row>
    <row r="316" spans="1:4" x14ac:dyDescent="0.25">
      <c r="A316" s="13" t="s">
        <v>30</v>
      </c>
      <c r="B316" s="13" t="s">
        <v>55</v>
      </c>
      <c r="C316" s="13">
        <v>2012</v>
      </c>
      <c r="D316" s="14">
        <f>'COCA COLA CO'!F50</f>
        <v>471</v>
      </c>
    </row>
    <row r="317" spans="1:4" x14ac:dyDescent="0.25">
      <c r="A317" s="13" t="s">
        <v>30</v>
      </c>
      <c r="B317" s="13" t="s">
        <v>56</v>
      </c>
      <c r="C317" s="13">
        <v>2012</v>
      </c>
      <c r="D317" s="14">
        <f>'COCA COLA CO'!F51</f>
        <v>796</v>
      </c>
    </row>
    <row r="318" spans="1:4" x14ac:dyDescent="0.25">
      <c r="A318" s="13" t="s">
        <v>30</v>
      </c>
      <c r="B318" s="13" t="s">
        <v>57</v>
      </c>
      <c r="C318" s="13">
        <v>2012</v>
      </c>
      <c r="D318" s="14">
        <f>'COCA COLA CO'!F52</f>
        <v>0</v>
      </c>
    </row>
    <row r="319" spans="1:4" x14ac:dyDescent="0.25">
      <c r="A319" s="13" t="s">
        <v>30</v>
      </c>
      <c r="B319" s="13" t="s">
        <v>58</v>
      </c>
      <c r="C319" s="13">
        <v>2012</v>
      </c>
      <c r="D319" s="14">
        <f>'COCA COLA CO'!F53</f>
        <v>27821</v>
      </c>
    </row>
    <row r="320" spans="1:4" x14ac:dyDescent="0.25">
      <c r="A320" s="13" t="s">
        <v>30</v>
      </c>
      <c r="B320" s="13" t="s">
        <v>59</v>
      </c>
      <c r="C320" s="13">
        <v>2012</v>
      </c>
      <c r="D320" s="14">
        <f>'COCA COLA CO'!F54</f>
        <v>14736</v>
      </c>
    </row>
    <row r="321" spans="1:4" x14ac:dyDescent="0.25">
      <c r="A321" s="13" t="s">
        <v>30</v>
      </c>
      <c r="B321" s="13" t="s">
        <v>60</v>
      </c>
      <c r="C321" s="13">
        <v>2012</v>
      </c>
      <c r="D321" s="14">
        <f>'COCA COLA CO'!F55</f>
        <v>5468</v>
      </c>
    </row>
    <row r="322" spans="1:4" x14ac:dyDescent="0.25">
      <c r="A322" s="13" t="s">
        <v>30</v>
      </c>
      <c r="B322" s="13" t="s">
        <v>61</v>
      </c>
      <c r="C322" s="13">
        <v>2012</v>
      </c>
      <c r="D322" s="14">
        <f>'COCA COLA CO'!F56</f>
        <v>4981</v>
      </c>
    </row>
    <row r="323" spans="1:4" x14ac:dyDescent="0.25">
      <c r="A323" s="13" t="s">
        <v>30</v>
      </c>
      <c r="B323" s="13" t="s">
        <v>62</v>
      </c>
      <c r="C323" s="13">
        <v>2012</v>
      </c>
      <c r="D323" s="14">
        <f>'COCA COLA CO'!F57</f>
        <v>1760</v>
      </c>
    </row>
    <row r="324" spans="1:4" x14ac:dyDescent="0.25">
      <c r="A324" s="13" t="s">
        <v>30</v>
      </c>
      <c r="B324" s="13" t="s">
        <v>63</v>
      </c>
      <c r="C324" s="13">
        <v>2012</v>
      </c>
      <c r="D324" s="14">
        <f>'COCA COLA CO'!F58</f>
        <v>11379</v>
      </c>
    </row>
    <row r="325" spans="1:4" x14ac:dyDescent="0.25">
      <c r="A325" s="13" t="s">
        <v>30</v>
      </c>
      <c r="B325" s="13" t="s">
        <v>64</v>
      </c>
      <c r="C325" s="13">
        <v>2012</v>
      </c>
      <c r="D325" s="14">
        <f>'COCA COLA CO'!F59</f>
        <v>58045</v>
      </c>
    </row>
    <row r="326" spans="1:4" x14ac:dyDescent="0.25">
      <c r="A326" s="13" t="s">
        <v>30</v>
      </c>
      <c r="B326" s="13" t="s">
        <v>65</v>
      </c>
      <c r="C326" s="13">
        <v>2012</v>
      </c>
      <c r="D326" s="14">
        <f>'COCA COLA CO'!F60</f>
        <v>-3385</v>
      </c>
    </row>
    <row r="327" spans="1:4" x14ac:dyDescent="0.25">
      <c r="A327" s="13" t="s">
        <v>30</v>
      </c>
      <c r="B327" s="13" t="s">
        <v>66</v>
      </c>
      <c r="C327" s="13">
        <v>2012</v>
      </c>
      <c r="D327" s="14">
        <f>'COCA COLA CO'!F61</f>
        <v>-35009</v>
      </c>
    </row>
    <row r="328" spans="1:4" x14ac:dyDescent="0.25">
      <c r="A328" s="13" t="s">
        <v>30</v>
      </c>
      <c r="B328" s="13" t="s">
        <v>67</v>
      </c>
      <c r="C328" s="13">
        <v>2012</v>
      </c>
      <c r="D328" s="14">
        <f>'COCA COLA CO'!F62</f>
        <v>32790</v>
      </c>
    </row>
    <row r="329" spans="1:4" x14ac:dyDescent="0.25">
      <c r="A329" s="13" t="s">
        <v>30</v>
      </c>
      <c r="B329" s="13" t="s">
        <v>68</v>
      </c>
      <c r="C329" s="13">
        <v>2012</v>
      </c>
      <c r="D329" s="14">
        <f>'COCA COLA CO'!F63</f>
        <v>378</v>
      </c>
    </row>
    <row r="330" spans="1:4" x14ac:dyDescent="0.25">
      <c r="A330" s="13" t="s">
        <v>30</v>
      </c>
      <c r="B330" s="13" t="s">
        <v>69</v>
      </c>
      <c r="C330" s="13">
        <v>2012</v>
      </c>
      <c r="D330" s="14">
        <f>'COCA COLA CO'!F64</f>
        <v>33168</v>
      </c>
    </row>
    <row r="331" spans="1:4" x14ac:dyDescent="0.25">
      <c r="A331" s="13" t="s">
        <v>30</v>
      </c>
      <c r="B331" s="13" t="s">
        <v>70</v>
      </c>
      <c r="C331" s="13">
        <v>2012</v>
      </c>
      <c r="D331" s="14">
        <f>'COCA COLA CO'!F65</f>
        <v>86174</v>
      </c>
    </row>
    <row r="332" spans="1:4" x14ac:dyDescent="0.25">
      <c r="A332" s="13" t="s">
        <v>30</v>
      </c>
      <c r="B332" s="13" t="s">
        <v>32</v>
      </c>
      <c r="C332" s="13">
        <v>2013</v>
      </c>
      <c r="D332" s="14">
        <f>'COCA COLA CO'!G26</f>
        <v>10414</v>
      </c>
    </row>
    <row r="333" spans="1:4" x14ac:dyDescent="0.25">
      <c r="A333" s="13" t="s">
        <v>30</v>
      </c>
      <c r="B333" s="13" t="s">
        <v>33</v>
      </c>
      <c r="C333" s="13">
        <v>2013</v>
      </c>
      <c r="D333" s="14">
        <f>'COCA COLA CO'!G27</f>
        <v>6707</v>
      </c>
    </row>
    <row r="334" spans="1:4" x14ac:dyDescent="0.25">
      <c r="A334" s="13" t="s">
        <v>30</v>
      </c>
      <c r="B334" s="13" t="s">
        <v>34</v>
      </c>
      <c r="C334" s="13">
        <v>2013</v>
      </c>
      <c r="D334" s="14">
        <f>'COCA COLA CO'!G28</f>
        <v>17121</v>
      </c>
    </row>
    <row r="335" spans="1:4" x14ac:dyDescent="0.25">
      <c r="A335" s="13" t="s">
        <v>30</v>
      </c>
      <c r="B335" s="13" t="s">
        <v>35</v>
      </c>
      <c r="C335" s="13">
        <v>2013</v>
      </c>
      <c r="D335" s="14">
        <f>'COCA COLA CO'!G29</f>
        <v>3147</v>
      </c>
    </row>
    <row r="336" spans="1:4" x14ac:dyDescent="0.25">
      <c r="A336" s="13" t="s">
        <v>30</v>
      </c>
      <c r="B336" s="13" t="s">
        <v>36</v>
      </c>
      <c r="C336" s="13">
        <v>2013</v>
      </c>
      <c r="D336" s="14">
        <f>'COCA COLA CO'!G30</f>
        <v>4873</v>
      </c>
    </row>
    <row r="337" spans="1:4" x14ac:dyDescent="0.25">
      <c r="A337" s="13" t="s">
        <v>30</v>
      </c>
      <c r="B337" s="13" t="s">
        <v>37</v>
      </c>
      <c r="C337" s="13">
        <v>2013</v>
      </c>
      <c r="D337" s="14">
        <f>'COCA COLA CO'!G31</f>
        <v>3277</v>
      </c>
    </row>
    <row r="338" spans="1:4" x14ac:dyDescent="0.25">
      <c r="A338" s="13" t="s">
        <v>30</v>
      </c>
      <c r="B338" s="13" t="s">
        <v>38</v>
      </c>
      <c r="C338" s="13">
        <v>2013</v>
      </c>
      <c r="D338" s="14">
        <f>'COCA COLA CO'!G32</f>
        <v>2886</v>
      </c>
    </row>
    <row r="339" spans="1:4" x14ac:dyDescent="0.25">
      <c r="A339" s="13" t="s">
        <v>30</v>
      </c>
      <c r="B339" s="13" t="s">
        <v>39</v>
      </c>
      <c r="C339" s="13">
        <v>2013</v>
      </c>
      <c r="D339" s="14">
        <f>'COCA COLA CO'!G33</f>
        <v>0</v>
      </c>
    </row>
    <row r="340" spans="1:4" x14ac:dyDescent="0.25">
      <c r="A340" s="13" t="s">
        <v>30</v>
      </c>
      <c r="B340" s="13" t="s">
        <v>39</v>
      </c>
      <c r="C340" s="13">
        <v>2013</v>
      </c>
      <c r="D340" s="14">
        <f>'COCA COLA CO'!G34</f>
        <v>0</v>
      </c>
    </row>
    <row r="341" spans="1:4" x14ac:dyDescent="0.25">
      <c r="A341" s="13" t="s">
        <v>30</v>
      </c>
      <c r="B341" s="13" t="s">
        <v>40</v>
      </c>
      <c r="C341" s="13">
        <v>2013</v>
      </c>
      <c r="D341" s="14">
        <f>'COCA COLA CO'!G35</f>
        <v>31304</v>
      </c>
    </row>
    <row r="342" spans="1:4" x14ac:dyDescent="0.25">
      <c r="A342" s="13" t="s">
        <v>30</v>
      </c>
      <c r="B342" s="13" t="s">
        <v>41</v>
      </c>
      <c r="C342" s="13">
        <v>2013</v>
      </c>
      <c r="D342" s="14">
        <f>'COCA COLA CO'!G36</f>
        <v>10393</v>
      </c>
    </row>
    <row r="343" spans="1:4" x14ac:dyDescent="0.25">
      <c r="A343" s="13" t="s">
        <v>30</v>
      </c>
      <c r="B343" s="13" t="s">
        <v>42</v>
      </c>
      <c r="C343" s="13">
        <v>2013</v>
      </c>
      <c r="D343" s="14">
        <f>'COCA COLA CO'!G37</f>
        <v>1119</v>
      </c>
    </row>
    <row r="344" spans="1:4" x14ac:dyDescent="0.25">
      <c r="A344" s="13" t="s">
        <v>30</v>
      </c>
      <c r="B344" s="13" t="s">
        <v>43</v>
      </c>
      <c r="C344" s="13">
        <v>2013</v>
      </c>
      <c r="D344" s="14">
        <f>'COCA COLA CO'!G38</f>
        <v>4661</v>
      </c>
    </row>
    <row r="345" spans="1:4" x14ac:dyDescent="0.25">
      <c r="A345" s="13" t="s">
        <v>30</v>
      </c>
      <c r="B345" s="13" t="s">
        <v>44</v>
      </c>
      <c r="C345" s="13">
        <v>2013</v>
      </c>
      <c r="D345" s="14">
        <f>'COCA COLA CO'!G39</f>
        <v>14967</v>
      </c>
    </row>
    <row r="346" spans="1:4" x14ac:dyDescent="0.25">
      <c r="A346" s="13" t="s">
        <v>30</v>
      </c>
      <c r="B346" s="13" t="s">
        <v>45</v>
      </c>
      <c r="C346" s="13">
        <v>2013</v>
      </c>
      <c r="D346" s="14">
        <f>'COCA COLA CO'!G40</f>
        <v>0</v>
      </c>
    </row>
    <row r="347" spans="1:4" x14ac:dyDescent="0.25">
      <c r="A347" s="13" t="s">
        <v>30</v>
      </c>
      <c r="B347" s="13" t="s">
        <v>46</v>
      </c>
      <c r="C347" s="13">
        <v>2013</v>
      </c>
      <c r="D347" s="14">
        <f>'COCA COLA CO'!G41</f>
        <v>6744</v>
      </c>
    </row>
    <row r="348" spans="1:4" x14ac:dyDescent="0.25">
      <c r="A348" s="13" t="s">
        <v>30</v>
      </c>
      <c r="B348" s="13" t="s">
        <v>47</v>
      </c>
      <c r="C348" s="13">
        <v>2013</v>
      </c>
      <c r="D348" s="14">
        <f>'COCA COLA CO'!G42</f>
        <v>7415</v>
      </c>
    </row>
    <row r="349" spans="1:4" x14ac:dyDescent="0.25">
      <c r="A349" s="13" t="s">
        <v>30</v>
      </c>
      <c r="B349" s="13" t="s">
        <v>48</v>
      </c>
      <c r="C349" s="13">
        <v>2013</v>
      </c>
      <c r="D349" s="14">
        <f>'COCA COLA CO'!G43</f>
        <v>12312</v>
      </c>
    </row>
    <row r="350" spans="1:4" x14ac:dyDescent="0.25">
      <c r="A350" s="13" t="s">
        <v>30</v>
      </c>
      <c r="B350" s="13" t="s">
        <v>49</v>
      </c>
      <c r="C350" s="13">
        <v>2013</v>
      </c>
      <c r="D350" s="14">
        <f>'COCA COLA CO'!G44</f>
        <v>1140</v>
      </c>
    </row>
    <row r="351" spans="1:4" x14ac:dyDescent="0.25">
      <c r="A351" s="13" t="s">
        <v>30</v>
      </c>
      <c r="B351" s="13" t="s">
        <v>50</v>
      </c>
      <c r="C351" s="13">
        <v>2013</v>
      </c>
      <c r="D351" s="14">
        <f>'COCA COLA CO'!G45</f>
        <v>90055</v>
      </c>
    </row>
    <row r="352" spans="1:4" x14ac:dyDescent="0.25">
      <c r="A352" s="13" t="s">
        <v>30</v>
      </c>
      <c r="B352" s="13" t="s">
        <v>51</v>
      </c>
      <c r="C352" s="13">
        <v>2013</v>
      </c>
      <c r="D352" s="14">
        <f>'COCA COLA CO'!G46</f>
        <v>0</v>
      </c>
    </row>
    <row r="353" spans="1:4" x14ac:dyDescent="0.25">
      <c r="A353" s="13" t="s">
        <v>30</v>
      </c>
      <c r="B353" s="13" t="s">
        <v>52</v>
      </c>
      <c r="C353" s="13">
        <v>2013</v>
      </c>
      <c r="D353" s="14">
        <f>'COCA COLA CO'!G47</f>
        <v>9577</v>
      </c>
    </row>
    <row r="354" spans="1:4" x14ac:dyDescent="0.25">
      <c r="A354" s="13" t="s">
        <v>30</v>
      </c>
      <c r="B354" s="13" t="s">
        <v>53</v>
      </c>
      <c r="C354" s="13">
        <v>2013</v>
      </c>
      <c r="D354" s="14">
        <f>'COCA COLA CO'!G48</f>
        <v>16901</v>
      </c>
    </row>
    <row r="355" spans="1:4" x14ac:dyDescent="0.25">
      <c r="A355" s="13" t="s">
        <v>30</v>
      </c>
      <c r="B355" s="13" t="s">
        <v>54</v>
      </c>
      <c r="C355" s="13">
        <v>2013</v>
      </c>
      <c r="D355" s="14">
        <f>'COCA COLA CO'!G49</f>
        <v>1024</v>
      </c>
    </row>
    <row r="356" spans="1:4" x14ac:dyDescent="0.25">
      <c r="A356" s="13" t="s">
        <v>30</v>
      </c>
      <c r="B356" s="13" t="s">
        <v>55</v>
      </c>
      <c r="C356" s="13">
        <v>2013</v>
      </c>
      <c r="D356" s="14">
        <f>'COCA COLA CO'!G50</f>
        <v>309</v>
      </c>
    </row>
    <row r="357" spans="1:4" x14ac:dyDescent="0.25">
      <c r="A357" s="13" t="s">
        <v>30</v>
      </c>
      <c r="B357" s="13" t="s">
        <v>56</v>
      </c>
      <c r="C357" s="13">
        <v>2013</v>
      </c>
      <c r="D357" s="14">
        <f>'COCA COLA CO'!G51</f>
        <v>0</v>
      </c>
    </row>
    <row r="358" spans="1:4" x14ac:dyDescent="0.25">
      <c r="A358" s="13" t="s">
        <v>30</v>
      </c>
      <c r="B358" s="13" t="s">
        <v>57</v>
      </c>
      <c r="C358" s="13">
        <v>2013</v>
      </c>
      <c r="D358" s="14">
        <f>'COCA COLA CO'!G52</f>
        <v>0</v>
      </c>
    </row>
    <row r="359" spans="1:4" x14ac:dyDescent="0.25">
      <c r="A359" s="13" t="s">
        <v>30</v>
      </c>
      <c r="B359" s="13" t="s">
        <v>58</v>
      </c>
      <c r="C359" s="13">
        <v>2013</v>
      </c>
      <c r="D359" s="14">
        <f>'COCA COLA CO'!G53</f>
        <v>27811</v>
      </c>
    </row>
    <row r="360" spans="1:4" x14ac:dyDescent="0.25">
      <c r="A360" s="13" t="s">
        <v>30</v>
      </c>
      <c r="B360" s="13" t="s">
        <v>59</v>
      </c>
      <c r="C360" s="13">
        <v>2013</v>
      </c>
      <c r="D360" s="14">
        <f>'COCA COLA CO'!G54</f>
        <v>19154</v>
      </c>
    </row>
    <row r="361" spans="1:4" x14ac:dyDescent="0.25">
      <c r="A361" s="13" t="s">
        <v>30</v>
      </c>
      <c r="B361" s="13" t="s">
        <v>60</v>
      </c>
      <c r="C361" s="13">
        <v>2013</v>
      </c>
      <c r="D361" s="14">
        <f>'COCA COLA CO'!G55</f>
        <v>3498</v>
      </c>
    </row>
    <row r="362" spans="1:4" x14ac:dyDescent="0.25">
      <c r="A362" s="13" t="s">
        <v>30</v>
      </c>
      <c r="B362" s="13" t="s">
        <v>61</v>
      </c>
      <c r="C362" s="13">
        <v>2013</v>
      </c>
      <c r="D362" s="14">
        <f>'COCA COLA CO'!G56</f>
        <v>6152</v>
      </c>
    </row>
    <row r="363" spans="1:4" x14ac:dyDescent="0.25">
      <c r="A363" s="13" t="s">
        <v>30</v>
      </c>
      <c r="B363" s="13" t="s">
        <v>62</v>
      </c>
      <c r="C363" s="13">
        <v>2013</v>
      </c>
      <c r="D363" s="14">
        <f>'COCA COLA CO'!G57</f>
        <v>1760</v>
      </c>
    </row>
    <row r="364" spans="1:4" x14ac:dyDescent="0.25">
      <c r="A364" s="13" t="s">
        <v>30</v>
      </c>
      <c r="B364" s="13" t="s">
        <v>63</v>
      </c>
      <c r="C364" s="13">
        <v>2013</v>
      </c>
      <c r="D364" s="14">
        <f>'COCA COLA CO'!G58</f>
        <v>12276</v>
      </c>
    </row>
    <row r="365" spans="1:4" x14ac:dyDescent="0.25">
      <c r="A365" s="13" t="s">
        <v>30</v>
      </c>
      <c r="B365" s="13" t="s">
        <v>64</v>
      </c>
      <c r="C365" s="13">
        <v>2013</v>
      </c>
      <c r="D365" s="14">
        <f>'COCA COLA CO'!G59</f>
        <v>61660</v>
      </c>
    </row>
    <row r="366" spans="1:4" x14ac:dyDescent="0.25">
      <c r="A366" s="13" t="s">
        <v>30</v>
      </c>
      <c r="B366" s="13" t="s">
        <v>65</v>
      </c>
      <c r="C366" s="13">
        <v>2013</v>
      </c>
      <c r="D366" s="14">
        <f>'COCA COLA CO'!G60</f>
        <v>-3432</v>
      </c>
    </row>
    <row r="367" spans="1:4" x14ac:dyDescent="0.25">
      <c r="A367" s="13" t="s">
        <v>30</v>
      </c>
      <c r="B367" s="13" t="s">
        <v>66</v>
      </c>
      <c r="C367" s="13">
        <v>2013</v>
      </c>
      <c r="D367" s="14">
        <f>'COCA COLA CO'!G61</f>
        <v>-39091</v>
      </c>
    </row>
    <row r="368" spans="1:4" x14ac:dyDescent="0.25">
      <c r="A368" s="13" t="s">
        <v>30</v>
      </c>
      <c r="B368" s="13" t="s">
        <v>67</v>
      </c>
      <c r="C368" s="13">
        <v>2013</v>
      </c>
      <c r="D368" s="14">
        <f>'COCA COLA CO'!G62</f>
        <v>33173</v>
      </c>
    </row>
    <row r="369" spans="1:4" x14ac:dyDescent="0.25">
      <c r="A369" s="13" t="s">
        <v>30</v>
      </c>
      <c r="B369" s="13" t="s">
        <v>68</v>
      </c>
      <c r="C369" s="13">
        <v>2013</v>
      </c>
      <c r="D369" s="14">
        <f>'COCA COLA CO'!G63</f>
        <v>267</v>
      </c>
    </row>
    <row r="370" spans="1:4" x14ac:dyDescent="0.25">
      <c r="A370" s="13" t="s">
        <v>30</v>
      </c>
      <c r="B370" s="13" t="s">
        <v>69</v>
      </c>
      <c r="C370" s="13">
        <v>2013</v>
      </c>
      <c r="D370" s="14">
        <f>'COCA COLA CO'!G64</f>
        <v>33440</v>
      </c>
    </row>
    <row r="371" spans="1:4" x14ac:dyDescent="0.25">
      <c r="A371" s="13" t="s">
        <v>30</v>
      </c>
      <c r="B371" s="13" t="s">
        <v>70</v>
      </c>
      <c r="C371" s="13">
        <v>2013</v>
      </c>
      <c r="D371" s="14">
        <f>'COCA COLA CO'!G65</f>
        <v>90055</v>
      </c>
    </row>
    <row r="372" spans="1:4" x14ac:dyDescent="0.25">
      <c r="A372" s="13" t="s">
        <v>30</v>
      </c>
      <c r="B372" s="13" t="s">
        <v>32</v>
      </c>
      <c r="C372" s="13">
        <v>2014</v>
      </c>
      <c r="D372" s="14">
        <f>'COCA COLA CO'!H26</f>
        <v>8958</v>
      </c>
    </row>
    <row r="373" spans="1:4" x14ac:dyDescent="0.25">
      <c r="A373" s="13" t="s">
        <v>30</v>
      </c>
      <c r="B373" s="13" t="s">
        <v>33</v>
      </c>
      <c r="C373" s="13">
        <v>2014</v>
      </c>
      <c r="D373" s="14">
        <f>'COCA COLA CO'!H27</f>
        <v>9052</v>
      </c>
    </row>
    <row r="374" spans="1:4" x14ac:dyDescent="0.25">
      <c r="A374" s="13" t="s">
        <v>30</v>
      </c>
      <c r="B374" s="13" t="s">
        <v>34</v>
      </c>
      <c r="C374" s="13">
        <v>2014</v>
      </c>
      <c r="D374" s="14">
        <f>'COCA COLA CO'!H28</f>
        <v>18010</v>
      </c>
    </row>
    <row r="375" spans="1:4" x14ac:dyDescent="0.25">
      <c r="A375" s="13" t="s">
        <v>30</v>
      </c>
      <c r="B375" s="13" t="s">
        <v>35</v>
      </c>
      <c r="C375" s="13">
        <v>2014</v>
      </c>
      <c r="D375" s="14">
        <f>'COCA COLA CO'!H29</f>
        <v>3665</v>
      </c>
    </row>
    <row r="376" spans="1:4" x14ac:dyDescent="0.25">
      <c r="A376" s="13" t="s">
        <v>30</v>
      </c>
      <c r="B376" s="13" t="s">
        <v>36</v>
      </c>
      <c r="C376" s="13">
        <v>2014</v>
      </c>
      <c r="D376" s="14">
        <f>'COCA COLA CO'!H30</f>
        <v>4466</v>
      </c>
    </row>
    <row r="377" spans="1:4" x14ac:dyDescent="0.25">
      <c r="A377" s="13" t="s">
        <v>30</v>
      </c>
      <c r="B377" s="13" t="s">
        <v>37</v>
      </c>
      <c r="C377" s="13">
        <v>2014</v>
      </c>
      <c r="D377" s="14">
        <f>'COCA COLA CO'!H31</f>
        <v>3100</v>
      </c>
    </row>
    <row r="378" spans="1:4" x14ac:dyDescent="0.25">
      <c r="A378" s="13" t="s">
        <v>30</v>
      </c>
      <c r="B378" s="13" t="s">
        <v>38</v>
      </c>
      <c r="C378" s="13">
        <v>2014</v>
      </c>
      <c r="D378" s="14">
        <f>'COCA COLA CO'!H32</f>
        <v>3066</v>
      </c>
    </row>
    <row r="379" spans="1:4" x14ac:dyDescent="0.25">
      <c r="A379" s="13" t="s">
        <v>30</v>
      </c>
      <c r="B379" s="13" t="s">
        <v>39</v>
      </c>
      <c r="C379" s="13">
        <v>2014</v>
      </c>
      <c r="D379" s="14">
        <f>'COCA COLA CO'!H33</f>
        <v>679</v>
      </c>
    </row>
    <row r="380" spans="1:4" x14ac:dyDescent="0.25">
      <c r="A380" s="13" t="s">
        <v>30</v>
      </c>
      <c r="B380" s="13" t="s">
        <v>39</v>
      </c>
      <c r="C380" s="13">
        <v>2014</v>
      </c>
      <c r="D380" s="14">
        <f>'COCA COLA CO'!H34</f>
        <v>0</v>
      </c>
    </row>
    <row r="381" spans="1:4" x14ac:dyDescent="0.25">
      <c r="A381" s="13" t="s">
        <v>30</v>
      </c>
      <c r="B381" s="13" t="s">
        <v>40</v>
      </c>
      <c r="C381" s="13">
        <v>2014</v>
      </c>
      <c r="D381" s="14">
        <f>'COCA COLA CO'!H35</f>
        <v>32986</v>
      </c>
    </row>
    <row r="382" spans="1:4" x14ac:dyDescent="0.25">
      <c r="A382" s="13" t="s">
        <v>30</v>
      </c>
      <c r="B382" s="13" t="s">
        <v>41</v>
      </c>
      <c r="C382" s="13">
        <v>2014</v>
      </c>
      <c r="D382" s="14">
        <f>'COCA COLA CO'!H36</f>
        <v>9947</v>
      </c>
    </row>
    <row r="383" spans="1:4" x14ac:dyDescent="0.25">
      <c r="A383" s="13" t="s">
        <v>30</v>
      </c>
      <c r="B383" s="13" t="s">
        <v>42</v>
      </c>
      <c r="C383" s="13">
        <v>2014</v>
      </c>
      <c r="D383" s="14">
        <f>'COCA COLA CO'!H37</f>
        <v>3678</v>
      </c>
    </row>
    <row r="384" spans="1:4" x14ac:dyDescent="0.25">
      <c r="A384" s="13" t="s">
        <v>30</v>
      </c>
      <c r="B384" s="13" t="s">
        <v>43</v>
      </c>
      <c r="C384" s="13">
        <v>2014</v>
      </c>
      <c r="D384" s="14">
        <f>'COCA COLA CO'!H38</f>
        <v>4407</v>
      </c>
    </row>
    <row r="385" spans="1:4" x14ac:dyDescent="0.25">
      <c r="A385" s="13" t="s">
        <v>30</v>
      </c>
      <c r="B385" s="13" t="s">
        <v>44</v>
      </c>
      <c r="C385" s="13">
        <v>2014</v>
      </c>
      <c r="D385" s="14">
        <f>'COCA COLA CO'!H39</f>
        <v>14633</v>
      </c>
    </row>
    <row r="386" spans="1:4" x14ac:dyDescent="0.25">
      <c r="A386" s="13" t="s">
        <v>30</v>
      </c>
      <c r="B386" s="13" t="s">
        <v>45</v>
      </c>
      <c r="C386" s="13">
        <v>2014</v>
      </c>
      <c r="D386" s="14">
        <f>'COCA COLA CO'!H40</f>
        <v>0</v>
      </c>
    </row>
    <row r="387" spans="1:4" x14ac:dyDescent="0.25">
      <c r="A387" s="13" t="s">
        <v>30</v>
      </c>
      <c r="B387" s="13" t="s">
        <v>46</v>
      </c>
      <c r="C387" s="13">
        <v>2014</v>
      </c>
      <c r="D387" s="14">
        <f>'COCA COLA CO'!H41</f>
        <v>6533</v>
      </c>
    </row>
    <row r="388" spans="1:4" x14ac:dyDescent="0.25">
      <c r="A388" s="13" t="s">
        <v>30</v>
      </c>
      <c r="B388" s="13" t="s">
        <v>47</v>
      </c>
      <c r="C388" s="13">
        <v>2014</v>
      </c>
      <c r="D388" s="14">
        <f>'COCA COLA CO'!H42</f>
        <v>6689</v>
      </c>
    </row>
    <row r="389" spans="1:4" x14ac:dyDescent="0.25">
      <c r="A389" s="13" t="s">
        <v>30</v>
      </c>
      <c r="B389" s="13" t="s">
        <v>48</v>
      </c>
      <c r="C389" s="13">
        <v>2014</v>
      </c>
      <c r="D389" s="14">
        <f>'COCA COLA CO'!H43</f>
        <v>12100</v>
      </c>
    </row>
    <row r="390" spans="1:4" x14ac:dyDescent="0.25">
      <c r="A390" s="13" t="s">
        <v>30</v>
      </c>
      <c r="B390" s="13" t="s">
        <v>49</v>
      </c>
      <c r="C390" s="13">
        <v>2014</v>
      </c>
      <c r="D390" s="14">
        <f>'COCA COLA CO'!H44</f>
        <v>1050</v>
      </c>
    </row>
    <row r="391" spans="1:4" x14ac:dyDescent="0.25">
      <c r="A391" s="13" t="s">
        <v>30</v>
      </c>
      <c r="B391" s="13" t="s">
        <v>50</v>
      </c>
      <c r="C391" s="13">
        <v>2014</v>
      </c>
      <c r="D391" s="14">
        <f>'COCA COLA CO'!H45</f>
        <v>92023</v>
      </c>
    </row>
    <row r="392" spans="1:4" x14ac:dyDescent="0.25">
      <c r="A392" s="13" t="s">
        <v>30</v>
      </c>
      <c r="B392" s="13" t="s">
        <v>51</v>
      </c>
      <c r="C392" s="13">
        <v>2014</v>
      </c>
      <c r="D392" s="14">
        <f>'COCA COLA CO'!H46</f>
        <v>0</v>
      </c>
    </row>
    <row r="393" spans="1:4" x14ac:dyDescent="0.25">
      <c r="A393" s="13" t="s">
        <v>30</v>
      </c>
      <c r="B393" s="13" t="s">
        <v>52</v>
      </c>
      <c r="C393" s="13">
        <v>2014</v>
      </c>
      <c r="D393" s="14">
        <f>'COCA COLA CO'!H47</f>
        <v>9234</v>
      </c>
    </row>
    <row r="394" spans="1:4" x14ac:dyDescent="0.25">
      <c r="A394" s="13" t="s">
        <v>30</v>
      </c>
      <c r="B394" s="13" t="s">
        <v>53</v>
      </c>
      <c r="C394" s="13">
        <v>2014</v>
      </c>
      <c r="D394" s="14">
        <f>'COCA COLA CO'!H48</f>
        <v>19130</v>
      </c>
    </row>
    <row r="395" spans="1:4" x14ac:dyDescent="0.25">
      <c r="A395" s="13" t="s">
        <v>30</v>
      </c>
      <c r="B395" s="13" t="s">
        <v>54</v>
      </c>
      <c r="C395" s="13">
        <v>2014</v>
      </c>
      <c r="D395" s="14">
        <f>'COCA COLA CO'!H49</f>
        <v>3552</v>
      </c>
    </row>
    <row r="396" spans="1:4" x14ac:dyDescent="0.25">
      <c r="A396" s="13" t="s">
        <v>30</v>
      </c>
      <c r="B396" s="13" t="s">
        <v>55</v>
      </c>
      <c r="C396" s="13">
        <v>2014</v>
      </c>
      <c r="D396" s="14">
        <f>'COCA COLA CO'!H50</f>
        <v>400</v>
      </c>
    </row>
    <row r="397" spans="1:4" x14ac:dyDescent="0.25">
      <c r="A397" s="13" t="s">
        <v>30</v>
      </c>
      <c r="B397" s="13" t="s">
        <v>56</v>
      </c>
      <c r="C397" s="13">
        <v>2014</v>
      </c>
      <c r="D397" s="14">
        <f>'COCA COLA CO'!H51</f>
        <v>58</v>
      </c>
    </row>
    <row r="398" spans="1:4" x14ac:dyDescent="0.25">
      <c r="A398" s="13" t="s">
        <v>30</v>
      </c>
      <c r="B398" s="13" t="s">
        <v>57</v>
      </c>
      <c r="C398" s="13">
        <v>2014</v>
      </c>
      <c r="D398" s="14">
        <f>'COCA COLA CO'!H52</f>
        <v>0</v>
      </c>
    </row>
    <row r="399" spans="1:4" x14ac:dyDescent="0.25">
      <c r="A399" s="13" t="s">
        <v>30</v>
      </c>
      <c r="B399" s="13" t="s">
        <v>58</v>
      </c>
      <c r="C399" s="13">
        <v>2014</v>
      </c>
      <c r="D399" s="14">
        <f>'COCA COLA CO'!H53</f>
        <v>32374</v>
      </c>
    </row>
    <row r="400" spans="1:4" x14ac:dyDescent="0.25">
      <c r="A400" s="13" t="s">
        <v>30</v>
      </c>
      <c r="B400" s="13" t="s">
        <v>59</v>
      </c>
      <c r="C400" s="13">
        <v>2014</v>
      </c>
      <c r="D400" s="14">
        <f>'COCA COLA CO'!H54</f>
        <v>19063</v>
      </c>
    </row>
    <row r="401" spans="1:4" x14ac:dyDescent="0.25">
      <c r="A401" s="13" t="s">
        <v>30</v>
      </c>
      <c r="B401" s="13" t="s">
        <v>60</v>
      </c>
      <c r="C401" s="13">
        <v>2014</v>
      </c>
      <c r="D401" s="14">
        <f>'COCA COLA CO'!H55</f>
        <v>4389</v>
      </c>
    </row>
    <row r="402" spans="1:4" x14ac:dyDescent="0.25">
      <c r="A402" s="13" t="s">
        <v>30</v>
      </c>
      <c r="B402" s="13" t="s">
        <v>61</v>
      </c>
      <c r="C402" s="13">
        <v>2014</v>
      </c>
      <c r="D402" s="14">
        <f>'COCA COLA CO'!H56</f>
        <v>5636</v>
      </c>
    </row>
    <row r="403" spans="1:4" x14ac:dyDescent="0.25">
      <c r="A403" s="13" t="s">
        <v>30</v>
      </c>
      <c r="B403" s="13" t="s">
        <v>62</v>
      </c>
      <c r="C403" s="13">
        <v>2014</v>
      </c>
      <c r="D403" s="14">
        <f>'COCA COLA CO'!H57</f>
        <v>1760</v>
      </c>
    </row>
    <row r="404" spans="1:4" x14ac:dyDescent="0.25">
      <c r="A404" s="13" t="s">
        <v>30</v>
      </c>
      <c r="B404" s="13" t="s">
        <v>63</v>
      </c>
      <c r="C404" s="13">
        <v>2014</v>
      </c>
      <c r="D404" s="14">
        <f>'COCA COLA CO'!H58</f>
        <v>13154</v>
      </c>
    </row>
    <row r="405" spans="1:4" x14ac:dyDescent="0.25">
      <c r="A405" s="13" t="s">
        <v>30</v>
      </c>
      <c r="B405" s="13" t="s">
        <v>64</v>
      </c>
      <c r="C405" s="13">
        <v>2014</v>
      </c>
      <c r="D405" s="14">
        <f>'COCA COLA CO'!H59</f>
        <v>63408</v>
      </c>
    </row>
    <row r="406" spans="1:4" x14ac:dyDescent="0.25">
      <c r="A406" s="13" t="s">
        <v>30</v>
      </c>
      <c r="B406" s="13" t="s">
        <v>65</v>
      </c>
      <c r="C406" s="13">
        <v>2014</v>
      </c>
      <c r="D406" s="14">
        <f>'COCA COLA CO'!H60</f>
        <v>-5777</v>
      </c>
    </row>
    <row r="407" spans="1:4" x14ac:dyDescent="0.25">
      <c r="A407" s="13" t="s">
        <v>30</v>
      </c>
      <c r="B407" s="13" t="s">
        <v>66</v>
      </c>
      <c r="C407" s="13">
        <v>2014</v>
      </c>
      <c r="D407" s="14">
        <f>'COCA COLA CO'!H61</f>
        <v>-42225</v>
      </c>
    </row>
    <row r="408" spans="1:4" x14ac:dyDescent="0.25">
      <c r="A408" s="13" t="s">
        <v>30</v>
      </c>
      <c r="B408" s="13" t="s">
        <v>67</v>
      </c>
      <c r="C408" s="13">
        <v>2014</v>
      </c>
      <c r="D408" s="14">
        <f>'COCA COLA CO'!H62</f>
        <v>30320</v>
      </c>
    </row>
    <row r="409" spans="1:4" x14ac:dyDescent="0.25">
      <c r="A409" s="13" t="s">
        <v>30</v>
      </c>
      <c r="B409" s="13" t="s">
        <v>68</v>
      </c>
      <c r="C409" s="13">
        <v>2014</v>
      </c>
      <c r="D409" s="14">
        <f>'COCA COLA CO'!H63</f>
        <v>241</v>
      </c>
    </row>
    <row r="410" spans="1:4" x14ac:dyDescent="0.25">
      <c r="A410" s="13" t="s">
        <v>30</v>
      </c>
      <c r="B410" s="13" t="s">
        <v>69</v>
      </c>
      <c r="C410" s="13">
        <v>2014</v>
      </c>
      <c r="D410" s="14">
        <f>'COCA COLA CO'!H64</f>
        <v>30561</v>
      </c>
    </row>
    <row r="411" spans="1:4" x14ac:dyDescent="0.25">
      <c r="A411" s="13" t="s">
        <v>30</v>
      </c>
      <c r="B411" s="13" t="s">
        <v>70</v>
      </c>
      <c r="C411" s="13">
        <v>2014</v>
      </c>
      <c r="D411" s="14">
        <f>'COCA COLA CO'!H65</f>
        <v>92023</v>
      </c>
    </row>
    <row r="412" spans="1:4" x14ac:dyDescent="0.25">
      <c r="A412" s="13" t="s">
        <v>30</v>
      </c>
      <c r="B412" s="13" t="s">
        <v>32</v>
      </c>
      <c r="C412" s="13">
        <v>2015</v>
      </c>
      <c r="D412" s="14">
        <f>'COCA COLA CO'!I26</f>
        <v>7309</v>
      </c>
    </row>
    <row r="413" spans="1:4" x14ac:dyDescent="0.25">
      <c r="A413" s="13" t="s">
        <v>30</v>
      </c>
      <c r="B413" s="13" t="s">
        <v>33</v>
      </c>
      <c r="C413" s="13">
        <v>2015</v>
      </c>
      <c r="D413" s="14">
        <f>'COCA COLA CO'!I27</f>
        <v>8322</v>
      </c>
    </row>
    <row r="414" spans="1:4" x14ac:dyDescent="0.25">
      <c r="A414" s="13" t="s">
        <v>30</v>
      </c>
      <c r="B414" s="13" t="s">
        <v>34</v>
      </c>
      <c r="C414" s="13">
        <v>2015</v>
      </c>
      <c r="D414" s="14">
        <f>'COCA COLA CO'!I28</f>
        <v>15631</v>
      </c>
    </row>
    <row r="415" spans="1:4" x14ac:dyDescent="0.25">
      <c r="A415" s="13" t="s">
        <v>30</v>
      </c>
      <c r="B415" s="13" t="s">
        <v>35</v>
      </c>
      <c r="C415" s="13">
        <v>2015</v>
      </c>
      <c r="D415" s="14">
        <f>'COCA COLA CO'!I29</f>
        <v>4269</v>
      </c>
    </row>
    <row r="416" spans="1:4" x14ac:dyDescent="0.25">
      <c r="A416" s="13" t="s">
        <v>30</v>
      </c>
      <c r="B416" s="13" t="s">
        <v>36</v>
      </c>
      <c r="C416" s="13">
        <v>2015</v>
      </c>
      <c r="D416" s="14">
        <f>'COCA COLA CO'!I30</f>
        <v>3941</v>
      </c>
    </row>
    <row r="417" spans="1:4" x14ac:dyDescent="0.25">
      <c r="A417" s="13" t="s">
        <v>30</v>
      </c>
      <c r="B417" s="13" t="s">
        <v>37</v>
      </c>
      <c r="C417" s="13">
        <v>2015</v>
      </c>
      <c r="D417" s="14">
        <f>'COCA COLA CO'!I31</f>
        <v>2902</v>
      </c>
    </row>
    <row r="418" spans="1:4" x14ac:dyDescent="0.25">
      <c r="A418" s="13" t="s">
        <v>30</v>
      </c>
      <c r="B418" s="13" t="s">
        <v>38</v>
      </c>
      <c r="C418" s="13">
        <v>2015</v>
      </c>
      <c r="D418" s="14">
        <f>'COCA COLA CO'!I32</f>
        <v>2752</v>
      </c>
    </row>
    <row r="419" spans="1:4" x14ac:dyDescent="0.25">
      <c r="A419" s="13" t="s">
        <v>30</v>
      </c>
      <c r="B419" s="13" t="s">
        <v>39</v>
      </c>
      <c r="C419" s="13">
        <v>2015</v>
      </c>
      <c r="D419" s="14">
        <f>'COCA COLA CO'!I33</f>
        <v>3900</v>
      </c>
    </row>
    <row r="420" spans="1:4" x14ac:dyDescent="0.25">
      <c r="A420" s="13" t="s">
        <v>30</v>
      </c>
      <c r="B420" s="13" t="s">
        <v>39</v>
      </c>
      <c r="C420" s="13">
        <v>2015</v>
      </c>
      <c r="D420" s="14">
        <f>'COCA COLA CO'!I34</f>
        <v>0</v>
      </c>
    </row>
    <row r="421" spans="1:4" x14ac:dyDescent="0.25">
      <c r="A421" s="13" t="s">
        <v>30</v>
      </c>
      <c r="B421" s="13" t="s">
        <v>40</v>
      </c>
      <c r="C421" s="13">
        <v>2015</v>
      </c>
      <c r="D421" s="14">
        <f>'COCA COLA CO'!I35</f>
        <v>33395</v>
      </c>
    </row>
    <row r="422" spans="1:4" x14ac:dyDescent="0.25">
      <c r="A422" s="13" t="s">
        <v>30</v>
      </c>
      <c r="B422" s="13" t="s">
        <v>41</v>
      </c>
      <c r="C422" s="13">
        <v>2015</v>
      </c>
      <c r="D422" s="14">
        <f>'COCA COLA CO'!I36</f>
        <v>12318</v>
      </c>
    </row>
    <row r="423" spans="1:4" x14ac:dyDescent="0.25">
      <c r="A423" s="13" t="s">
        <v>30</v>
      </c>
      <c r="B423" s="13" t="s">
        <v>42</v>
      </c>
      <c r="C423" s="13">
        <v>2015</v>
      </c>
      <c r="D423" s="14">
        <f>'COCA COLA CO'!I37</f>
        <v>3470</v>
      </c>
    </row>
    <row r="424" spans="1:4" x14ac:dyDescent="0.25">
      <c r="A424" s="13" t="s">
        <v>30</v>
      </c>
      <c r="B424" s="13" t="s">
        <v>43</v>
      </c>
      <c r="C424" s="13">
        <v>2015</v>
      </c>
      <c r="D424" s="14">
        <f>'COCA COLA CO'!I38</f>
        <v>4110</v>
      </c>
    </row>
    <row r="425" spans="1:4" x14ac:dyDescent="0.25">
      <c r="A425" s="13" t="s">
        <v>30</v>
      </c>
      <c r="B425" s="13" t="s">
        <v>44</v>
      </c>
      <c r="C425" s="13">
        <v>2015</v>
      </c>
      <c r="D425" s="14">
        <f>'COCA COLA CO'!I39</f>
        <v>12571</v>
      </c>
    </row>
    <row r="426" spans="1:4" x14ac:dyDescent="0.25">
      <c r="A426" s="13" t="s">
        <v>30</v>
      </c>
      <c r="B426" s="13" t="s">
        <v>45</v>
      </c>
      <c r="C426" s="13">
        <v>2015</v>
      </c>
      <c r="D426" s="14">
        <f>'COCA COLA CO'!I40</f>
        <v>0</v>
      </c>
    </row>
    <row r="427" spans="1:4" x14ac:dyDescent="0.25">
      <c r="A427" s="13" t="s">
        <v>30</v>
      </c>
      <c r="B427" s="13" t="s">
        <v>46</v>
      </c>
      <c r="C427" s="13">
        <v>2015</v>
      </c>
      <c r="D427" s="14">
        <f>'COCA COLA CO'!I41</f>
        <v>5989</v>
      </c>
    </row>
    <row r="428" spans="1:4" x14ac:dyDescent="0.25">
      <c r="A428" s="13" t="s">
        <v>30</v>
      </c>
      <c r="B428" s="13" t="s">
        <v>47</v>
      </c>
      <c r="C428" s="13">
        <v>2015</v>
      </c>
      <c r="D428" s="14">
        <f>'COCA COLA CO'!I42</f>
        <v>6000</v>
      </c>
    </row>
    <row r="429" spans="1:4" x14ac:dyDescent="0.25">
      <c r="A429" s="13" t="s">
        <v>30</v>
      </c>
      <c r="B429" s="13" t="s">
        <v>48</v>
      </c>
      <c r="C429" s="13">
        <v>2015</v>
      </c>
      <c r="D429" s="14">
        <f>'COCA COLA CO'!I43</f>
        <v>11289</v>
      </c>
    </row>
    <row r="430" spans="1:4" x14ac:dyDescent="0.25">
      <c r="A430" s="13" t="s">
        <v>30</v>
      </c>
      <c r="B430" s="13" t="s">
        <v>49</v>
      </c>
      <c r="C430" s="13">
        <v>2015</v>
      </c>
      <c r="D430" s="14">
        <f>'COCA COLA CO'!I44</f>
        <v>854</v>
      </c>
    </row>
    <row r="431" spans="1:4" x14ac:dyDescent="0.25">
      <c r="A431" s="13" t="s">
        <v>30</v>
      </c>
      <c r="B431" s="13" t="s">
        <v>50</v>
      </c>
      <c r="C431" s="13">
        <v>2015</v>
      </c>
      <c r="D431" s="14">
        <f>'COCA COLA CO'!I45</f>
        <v>89996</v>
      </c>
    </row>
    <row r="432" spans="1:4" x14ac:dyDescent="0.25">
      <c r="A432" s="13" t="s">
        <v>30</v>
      </c>
      <c r="B432" s="13" t="s">
        <v>51</v>
      </c>
      <c r="C432" s="13">
        <v>2015</v>
      </c>
      <c r="D432" s="14">
        <f>'COCA COLA CO'!I46</f>
        <v>0</v>
      </c>
    </row>
    <row r="433" spans="1:4" x14ac:dyDescent="0.25">
      <c r="A433" s="13" t="s">
        <v>30</v>
      </c>
      <c r="B433" s="13" t="s">
        <v>52</v>
      </c>
      <c r="C433" s="13">
        <v>2015</v>
      </c>
      <c r="D433" s="14">
        <f>'COCA COLA CO'!I47</f>
        <v>9660</v>
      </c>
    </row>
    <row r="434" spans="1:4" x14ac:dyDescent="0.25">
      <c r="A434" s="13" t="s">
        <v>30</v>
      </c>
      <c r="B434" s="13" t="s">
        <v>53</v>
      </c>
      <c r="C434" s="13">
        <v>2015</v>
      </c>
      <c r="D434" s="14">
        <f>'COCA COLA CO'!I48</f>
        <v>13129</v>
      </c>
    </row>
    <row r="435" spans="1:4" x14ac:dyDescent="0.25">
      <c r="A435" s="13" t="s">
        <v>30</v>
      </c>
      <c r="B435" s="13" t="s">
        <v>54</v>
      </c>
      <c r="C435" s="13">
        <v>2015</v>
      </c>
      <c r="D435" s="14">
        <f>'COCA COLA CO'!I49</f>
        <v>2676</v>
      </c>
    </row>
    <row r="436" spans="1:4" x14ac:dyDescent="0.25">
      <c r="A436" s="13" t="s">
        <v>30</v>
      </c>
      <c r="B436" s="13" t="s">
        <v>55</v>
      </c>
      <c r="C436" s="13">
        <v>2015</v>
      </c>
      <c r="D436" s="14">
        <f>'COCA COLA CO'!I50</f>
        <v>331</v>
      </c>
    </row>
    <row r="437" spans="1:4" x14ac:dyDescent="0.25">
      <c r="A437" s="13" t="s">
        <v>30</v>
      </c>
      <c r="B437" s="13" t="s">
        <v>56</v>
      </c>
      <c r="C437" s="13">
        <v>2015</v>
      </c>
      <c r="D437" s="14">
        <f>'COCA COLA CO'!I51</f>
        <v>1133</v>
      </c>
    </row>
    <row r="438" spans="1:4" x14ac:dyDescent="0.25">
      <c r="A438" s="13" t="s">
        <v>30</v>
      </c>
      <c r="B438" s="13" t="s">
        <v>57</v>
      </c>
      <c r="C438" s="13">
        <v>2015</v>
      </c>
      <c r="D438" s="14">
        <f>'COCA COLA CO'!I52</f>
        <v>0</v>
      </c>
    </row>
    <row r="439" spans="1:4" x14ac:dyDescent="0.25">
      <c r="A439" s="13" t="s">
        <v>30</v>
      </c>
      <c r="B439" s="13" t="s">
        <v>58</v>
      </c>
      <c r="C439" s="13">
        <v>2015</v>
      </c>
      <c r="D439" s="14">
        <f>'COCA COLA CO'!I53</f>
        <v>26929</v>
      </c>
    </row>
    <row r="440" spans="1:4" x14ac:dyDescent="0.25">
      <c r="A440" s="13" t="s">
        <v>30</v>
      </c>
      <c r="B440" s="13" t="s">
        <v>59</v>
      </c>
      <c r="C440" s="13">
        <v>2015</v>
      </c>
      <c r="D440" s="14">
        <f>'COCA COLA CO'!I54</f>
        <v>28311</v>
      </c>
    </row>
    <row r="441" spans="1:4" x14ac:dyDescent="0.25">
      <c r="A441" s="13" t="s">
        <v>30</v>
      </c>
      <c r="B441" s="13" t="s">
        <v>60</v>
      </c>
      <c r="C441" s="13">
        <v>2015</v>
      </c>
      <c r="D441" s="14">
        <f>'COCA COLA CO'!I55</f>
        <v>4301</v>
      </c>
    </row>
    <row r="442" spans="1:4" x14ac:dyDescent="0.25">
      <c r="A442" s="13" t="s">
        <v>30</v>
      </c>
      <c r="B442" s="13" t="s">
        <v>61</v>
      </c>
      <c r="C442" s="13">
        <v>2015</v>
      </c>
      <c r="D442" s="14">
        <f>'COCA COLA CO'!I56</f>
        <v>4691</v>
      </c>
    </row>
    <row r="443" spans="1:4" x14ac:dyDescent="0.25">
      <c r="A443" s="13" t="s">
        <v>30</v>
      </c>
      <c r="B443" s="13" t="s">
        <v>62</v>
      </c>
      <c r="C443" s="13">
        <v>2015</v>
      </c>
      <c r="D443" s="14">
        <f>'COCA COLA CO'!I57</f>
        <v>1760</v>
      </c>
    </row>
    <row r="444" spans="1:4" x14ac:dyDescent="0.25">
      <c r="A444" s="13" t="s">
        <v>30</v>
      </c>
      <c r="B444" s="13" t="s">
        <v>63</v>
      </c>
      <c r="C444" s="13">
        <v>2015</v>
      </c>
      <c r="D444" s="14">
        <f>'COCA COLA CO'!I58</f>
        <v>14016</v>
      </c>
    </row>
    <row r="445" spans="1:4" x14ac:dyDescent="0.25">
      <c r="A445" s="13" t="s">
        <v>30</v>
      </c>
      <c r="B445" s="13" t="s">
        <v>64</v>
      </c>
      <c r="C445" s="13">
        <v>2015</v>
      </c>
      <c r="D445" s="14">
        <f>'COCA COLA CO'!I59</f>
        <v>65018</v>
      </c>
    </row>
    <row r="446" spans="1:4" x14ac:dyDescent="0.25">
      <c r="A446" s="13" t="s">
        <v>30</v>
      </c>
      <c r="B446" s="13" t="s">
        <v>65</v>
      </c>
      <c r="C446" s="13">
        <v>2015</v>
      </c>
      <c r="D446" s="14">
        <f>'COCA COLA CO'!I60</f>
        <v>-10174</v>
      </c>
    </row>
    <row r="447" spans="1:4" x14ac:dyDescent="0.25">
      <c r="A447" s="13" t="s">
        <v>30</v>
      </c>
      <c r="B447" s="13" t="s">
        <v>66</v>
      </c>
      <c r="C447" s="13">
        <v>2015</v>
      </c>
      <c r="D447" s="14">
        <f>'COCA COLA CO'!I61</f>
        <v>-45066</v>
      </c>
    </row>
    <row r="448" spans="1:4" x14ac:dyDescent="0.25">
      <c r="A448" s="13" t="s">
        <v>30</v>
      </c>
      <c r="B448" s="13" t="s">
        <v>67</v>
      </c>
      <c r="C448" s="13">
        <v>2015</v>
      </c>
      <c r="D448" s="14">
        <f>'COCA COLA CO'!I62</f>
        <v>25554</v>
      </c>
    </row>
    <row r="449" spans="1:4" x14ac:dyDescent="0.25">
      <c r="A449" s="13" t="s">
        <v>30</v>
      </c>
      <c r="B449" s="13" t="s">
        <v>68</v>
      </c>
      <c r="C449" s="13">
        <v>2015</v>
      </c>
      <c r="D449" s="14">
        <f>'COCA COLA CO'!I63</f>
        <v>210</v>
      </c>
    </row>
    <row r="450" spans="1:4" x14ac:dyDescent="0.25">
      <c r="A450" s="13" t="s">
        <v>30</v>
      </c>
      <c r="B450" s="13" t="s">
        <v>69</v>
      </c>
      <c r="C450" s="13">
        <v>2015</v>
      </c>
      <c r="D450" s="14">
        <f>'COCA COLA CO'!I64</f>
        <v>25764</v>
      </c>
    </row>
    <row r="451" spans="1:4" x14ac:dyDescent="0.25">
      <c r="A451" s="13" t="s">
        <v>30</v>
      </c>
      <c r="B451" s="13" t="s">
        <v>70</v>
      </c>
      <c r="C451" s="13">
        <v>2015</v>
      </c>
      <c r="D451" s="14">
        <f>'COCA COLA CO'!I65</f>
        <v>89996</v>
      </c>
    </row>
    <row r="452" spans="1:4" x14ac:dyDescent="0.25">
      <c r="A452" s="13" t="s">
        <v>30</v>
      </c>
      <c r="B452" s="13" t="s">
        <v>32</v>
      </c>
      <c r="C452" s="13">
        <v>2016</v>
      </c>
      <c r="D452" s="14">
        <f>'COCA COLA CO'!J26</f>
        <v>8555</v>
      </c>
    </row>
    <row r="453" spans="1:4" x14ac:dyDescent="0.25">
      <c r="A453" s="13" t="s">
        <v>30</v>
      </c>
      <c r="B453" s="13" t="s">
        <v>33</v>
      </c>
      <c r="C453" s="13">
        <v>2016</v>
      </c>
      <c r="D453" s="14">
        <f>'COCA COLA CO'!J27</f>
        <v>9595</v>
      </c>
    </row>
    <row r="454" spans="1:4" x14ac:dyDescent="0.25">
      <c r="A454" s="13" t="s">
        <v>30</v>
      </c>
      <c r="B454" s="13" t="s">
        <v>34</v>
      </c>
      <c r="C454" s="13">
        <v>2016</v>
      </c>
      <c r="D454" s="14">
        <f>'COCA COLA CO'!J28</f>
        <v>18150</v>
      </c>
    </row>
    <row r="455" spans="1:4" x14ac:dyDescent="0.25">
      <c r="A455" s="13" t="s">
        <v>30</v>
      </c>
      <c r="B455" s="13" t="s">
        <v>35</v>
      </c>
      <c r="C455" s="13">
        <v>2016</v>
      </c>
      <c r="D455" s="14">
        <f>'COCA COLA CO'!J29</f>
        <v>4051</v>
      </c>
    </row>
    <row r="456" spans="1:4" x14ac:dyDescent="0.25">
      <c r="A456" s="13" t="s">
        <v>30</v>
      </c>
      <c r="B456" s="13" t="s">
        <v>36</v>
      </c>
      <c r="C456" s="13">
        <v>2016</v>
      </c>
      <c r="D456" s="14">
        <f>'COCA COLA CO'!J30</f>
        <v>3856</v>
      </c>
    </row>
    <row r="457" spans="1:4" x14ac:dyDescent="0.25">
      <c r="A457" s="13" t="s">
        <v>30</v>
      </c>
      <c r="B457" s="13" t="s">
        <v>37</v>
      </c>
      <c r="C457" s="13">
        <v>2016</v>
      </c>
      <c r="D457" s="14">
        <f>'COCA COLA CO'!J31</f>
        <v>2675</v>
      </c>
    </row>
    <row r="458" spans="1:4" x14ac:dyDescent="0.25">
      <c r="A458" s="13" t="s">
        <v>30</v>
      </c>
      <c r="B458" s="13" t="s">
        <v>38</v>
      </c>
      <c r="C458" s="13">
        <v>2016</v>
      </c>
      <c r="D458" s="14">
        <f>'COCA COLA CO'!J32</f>
        <v>2481</v>
      </c>
    </row>
    <row r="459" spans="1:4" x14ac:dyDescent="0.25">
      <c r="A459" s="13" t="s">
        <v>30</v>
      </c>
      <c r="B459" s="13" t="s">
        <v>39</v>
      </c>
      <c r="C459" s="13">
        <v>2016</v>
      </c>
      <c r="D459" s="14">
        <f>'COCA COLA CO'!J33</f>
        <v>0</v>
      </c>
    </row>
    <row r="460" spans="1:4" x14ac:dyDescent="0.25">
      <c r="A460" s="13" t="s">
        <v>30</v>
      </c>
      <c r="B460" s="13" t="s">
        <v>39</v>
      </c>
      <c r="C460" s="13">
        <v>2016</v>
      </c>
      <c r="D460" s="14">
        <f>'COCA COLA CO'!J34</f>
        <v>2797</v>
      </c>
    </row>
    <row r="461" spans="1:4" x14ac:dyDescent="0.25">
      <c r="A461" s="13" t="s">
        <v>30</v>
      </c>
      <c r="B461" s="13" t="s">
        <v>40</v>
      </c>
      <c r="C461" s="13">
        <v>2016</v>
      </c>
      <c r="D461" s="14">
        <f>'COCA COLA CO'!J35</f>
        <v>34010</v>
      </c>
    </row>
    <row r="462" spans="1:4" x14ac:dyDescent="0.25">
      <c r="A462" s="13" t="s">
        <v>30</v>
      </c>
      <c r="B462" s="13" t="s">
        <v>41</v>
      </c>
      <c r="C462" s="13">
        <v>2016</v>
      </c>
      <c r="D462" s="14">
        <f>'COCA COLA CO'!J36</f>
        <v>16260</v>
      </c>
    </row>
    <row r="463" spans="1:4" x14ac:dyDescent="0.25">
      <c r="A463" s="13" t="s">
        <v>30</v>
      </c>
      <c r="B463" s="13" t="s">
        <v>42</v>
      </c>
      <c r="C463" s="13">
        <v>2016</v>
      </c>
      <c r="D463" s="14">
        <f>'COCA COLA CO'!J37</f>
        <v>989</v>
      </c>
    </row>
    <row r="464" spans="1:4" x14ac:dyDescent="0.25">
      <c r="A464" s="13" t="s">
        <v>30</v>
      </c>
      <c r="B464" s="13" t="s">
        <v>43</v>
      </c>
      <c r="C464" s="13">
        <v>2016</v>
      </c>
      <c r="D464" s="14">
        <f>'COCA COLA CO'!J38</f>
        <v>4248</v>
      </c>
    </row>
    <row r="465" spans="1:4" x14ac:dyDescent="0.25">
      <c r="A465" s="13" t="s">
        <v>30</v>
      </c>
      <c r="B465" s="13" t="s">
        <v>44</v>
      </c>
      <c r="C465" s="13">
        <v>2016</v>
      </c>
      <c r="D465" s="14">
        <f>'COCA COLA CO'!J39</f>
        <v>10635</v>
      </c>
    </row>
    <row r="466" spans="1:4" x14ac:dyDescent="0.25">
      <c r="A466" s="13" t="s">
        <v>30</v>
      </c>
      <c r="B466" s="13" t="s">
        <v>45</v>
      </c>
      <c r="C466" s="13">
        <v>2016</v>
      </c>
      <c r="D466" s="14">
        <f>'COCA COLA CO'!J40</f>
        <v>0</v>
      </c>
    </row>
    <row r="467" spans="1:4" x14ac:dyDescent="0.25">
      <c r="A467" s="13" t="s">
        <v>30</v>
      </c>
      <c r="B467" s="13" t="s">
        <v>46</v>
      </c>
      <c r="C467" s="13">
        <v>2016</v>
      </c>
      <c r="D467" s="14">
        <f>'COCA COLA CO'!J41</f>
        <v>6097</v>
      </c>
    </row>
    <row r="468" spans="1:4" x14ac:dyDescent="0.25">
      <c r="A468" s="13" t="s">
        <v>30</v>
      </c>
      <c r="B468" s="13" t="s">
        <v>47</v>
      </c>
      <c r="C468" s="13">
        <v>2016</v>
      </c>
      <c r="D468" s="14">
        <f>'COCA COLA CO'!J42</f>
        <v>3676</v>
      </c>
    </row>
    <row r="469" spans="1:4" x14ac:dyDescent="0.25">
      <c r="A469" s="13" t="s">
        <v>30</v>
      </c>
      <c r="B469" s="13" t="s">
        <v>48</v>
      </c>
      <c r="C469" s="13">
        <v>2016</v>
      </c>
      <c r="D469" s="14">
        <f>'COCA COLA CO'!J43</f>
        <v>10629</v>
      </c>
    </row>
    <row r="470" spans="1:4" x14ac:dyDescent="0.25">
      <c r="A470" s="13" t="s">
        <v>30</v>
      </c>
      <c r="B470" s="13" t="s">
        <v>49</v>
      </c>
      <c r="C470" s="13">
        <v>2016</v>
      </c>
      <c r="D470" s="14">
        <f>'COCA COLA CO'!J44</f>
        <v>726</v>
      </c>
    </row>
    <row r="471" spans="1:4" x14ac:dyDescent="0.25">
      <c r="A471" s="13" t="s">
        <v>30</v>
      </c>
      <c r="B471" s="13" t="s">
        <v>50</v>
      </c>
      <c r="C471" s="13">
        <v>2016</v>
      </c>
      <c r="D471" s="14">
        <f>'COCA COLA CO'!J45</f>
        <v>87270</v>
      </c>
    </row>
    <row r="472" spans="1:4" x14ac:dyDescent="0.25">
      <c r="A472" s="13" t="s">
        <v>30</v>
      </c>
      <c r="B472" s="13" t="s">
        <v>51</v>
      </c>
      <c r="C472" s="13">
        <v>2016</v>
      </c>
      <c r="D472" s="14">
        <f>'COCA COLA CO'!J46</f>
        <v>0</v>
      </c>
    </row>
    <row r="473" spans="1:4" x14ac:dyDescent="0.25">
      <c r="A473" s="13" t="s">
        <v>30</v>
      </c>
      <c r="B473" s="13" t="s">
        <v>52</v>
      </c>
      <c r="C473" s="13">
        <v>2016</v>
      </c>
      <c r="D473" s="14">
        <f>'COCA COLA CO'!J47</f>
        <v>9490</v>
      </c>
    </row>
    <row r="474" spans="1:4" x14ac:dyDescent="0.25">
      <c r="A474" s="13" t="s">
        <v>30</v>
      </c>
      <c r="B474" s="13" t="s">
        <v>53</v>
      </c>
      <c r="C474" s="13">
        <v>2016</v>
      </c>
      <c r="D474" s="14">
        <f>'COCA COLA CO'!J48</f>
        <v>12498</v>
      </c>
    </row>
    <row r="475" spans="1:4" x14ac:dyDescent="0.25">
      <c r="A475" s="13" t="s">
        <v>30</v>
      </c>
      <c r="B475" s="13" t="s">
        <v>54</v>
      </c>
      <c r="C475" s="13">
        <v>2016</v>
      </c>
      <c r="D475" s="14">
        <f>'COCA COLA CO'!J49</f>
        <v>3527</v>
      </c>
    </row>
    <row r="476" spans="1:4" x14ac:dyDescent="0.25">
      <c r="A476" s="13" t="s">
        <v>30</v>
      </c>
      <c r="B476" s="13" t="s">
        <v>55</v>
      </c>
      <c r="C476" s="13">
        <v>2016</v>
      </c>
      <c r="D476" s="14">
        <f>'COCA COLA CO'!J50</f>
        <v>307</v>
      </c>
    </row>
    <row r="477" spans="1:4" x14ac:dyDescent="0.25">
      <c r="A477" s="13" t="s">
        <v>30</v>
      </c>
      <c r="B477" s="13" t="s">
        <v>56</v>
      </c>
      <c r="C477" s="13">
        <v>2016</v>
      </c>
      <c r="D477" s="14">
        <f>'COCA COLA CO'!J51</f>
        <v>710</v>
      </c>
    </row>
    <row r="478" spans="1:4" x14ac:dyDescent="0.25">
      <c r="A478" s="13" t="s">
        <v>30</v>
      </c>
      <c r="B478" s="13" t="s">
        <v>57</v>
      </c>
      <c r="C478" s="13">
        <v>2016</v>
      </c>
      <c r="D478" s="14">
        <f>'COCA COLA CO'!J52</f>
        <v>0</v>
      </c>
    </row>
    <row r="479" spans="1:4" x14ac:dyDescent="0.25">
      <c r="A479" s="13" t="s">
        <v>30</v>
      </c>
      <c r="B479" s="13" t="s">
        <v>58</v>
      </c>
      <c r="C479" s="13">
        <v>2016</v>
      </c>
      <c r="D479" s="14">
        <f>'COCA COLA CO'!J53</f>
        <v>26532</v>
      </c>
    </row>
    <row r="480" spans="1:4" x14ac:dyDescent="0.25">
      <c r="A480" s="13" t="s">
        <v>30</v>
      </c>
      <c r="B480" s="13" t="s">
        <v>59</v>
      </c>
      <c r="C480" s="13">
        <v>2016</v>
      </c>
      <c r="D480" s="14">
        <f>'COCA COLA CO'!J54</f>
        <v>29684</v>
      </c>
    </row>
    <row r="481" spans="1:4" x14ac:dyDescent="0.25">
      <c r="A481" s="13" t="s">
        <v>30</v>
      </c>
      <c r="B481" s="13" t="s">
        <v>60</v>
      </c>
      <c r="C481" s="13">
        <v>2016</v>
      </c>
      <c r="D481" s="14">
        <f>'COCA COLA CO'!J55</f>
        <v>4081</v>
      </c>
    </row>
    <row r="482" spans="1:4" x14ac:dyDescent="0.25">
      <c r="A482" s="13" t="s">
        <v>30</v>
      </c>
      <c r="B482" s="13" t="s">
        <v>61</v>
      </c>
      <c r="C482" s="13">
        <v>2016</v>
      </c>
      <c r="D482" s="14">
        <f>'COCA COLA CO'!J56</f>
        <v>3753</v>
      </c>
    </row>
    <row r="483" spans="1:4" x14ac:dyDescent="0.25">
      <c r="A483" s="13" t="s">
        <v>30</v>
      </c>
      <c r="B483" s="13" t="s">
        <v>62</v>
      </c>
      <c r="C483" s="13">
        <v>2016</v>
      </c>
      <c r="D483" s="14">
        <f>'COCA COLA CO'!J57</f>
        <v>1760</v>
      </c>
    </row>
    <row r="484" spans="1:4" x14ac:dyDescent="0.25">
      <c r="A484" s="13" t="s">
        <v>30</v>
      </c>
      <c r="B484" s="13" t="s">
        <v>63</v>
      </c>
      <c r="C484" s="13">
        <v>2016</v>
      </c>
      <c r="D484" s="14">
        <f>'COCA COLA CO'!J58</f>
        <v>14993</v>
      </c>
    </row>
    <row r="485" spans="1:4" x14ac:dyDescent="0.25">
      <c r="A485" s="13" t="s">
        <v>30</v>
      </c>
      <c r="B485" s="13" t="s">
        <v>64</v>
      </c>
      <c r="C485" s="13">
        <v>2016</v>
      </c>
      <c r="D485" s="14">
        <f>'COCA COLA CO'!J59</f>
        <v>65502</v>
      </c>
    </row>
    <row r="486" spans="1:4" x14ac:dyDescent="0.25">
      <c r="A486" s="13" t="s">
        <v>30</v>
      </c>
      <c r="B486" s="13" t="s">
        <v>65</v>
      </c>
      <c r="C486" s="13">
        <v>2016</v>
      </c>
      <c r="D486" s="14">
        <f>'COCA COLA CO'!J60</f>
        <v>-11205</v>
      </c>
    </row>
    <row r="487" spans="1:4" x14ac:dyDescent="0.25">
      <c r="A487" s="13" t="s">
        <v>30</v>
      </c>
      <c r="B487" s="13" t="s">
        <v>66</v>
      </c>
      <c r="C487" s="13">
        <v>2016</v>
      </c>
      <c r="D487" s="14">
        <f>'COCA COLA CO'!J61</f>
        <v>-47988</v>
      </c>
    </row>
    <row r="488" spans="1:4" x14ac:dyDescent="0.25">
      <c r="A488" s="13" t="s">
        <v>30</v>
      </c>
      <c r="B488" s="13" t="s">
        <v>67</v>
      </c>
      <c r="C488" s="13">
        <v>2016</v>
      </c>
      <c r="D488" s="14">
        <f>'COCA COLA CO'!J62</f>
        <v>23062</v>
      </c>
    </row>
    <row r="489" spans="1:4" x14ac:dyDescent="0.25">
      <c r="A489" s="13" t="s">
        <v>30</v>
      </c>
      <c r="B489" s="13" t="s">
        <v>68</v>
      </c>
      <c r="C489" s="13">
        <v>2016</v>
      </c>
      <c r="D489" s="14">
        <f>'COCA COLA CO'!J63</f>
        <v>158</v>
      </c>
    </row>
    <row r="490" spans="1:4" x14ac:dyDescent="0.25">
      <c r="A490" s="13" t="s">
        <v>30</v>
      </c>
      <c r="B490" s="13" t="s">
        <v>69</v>
      </c>
      <c r="C490" s="13">
        <v>2016</v>
      </c>
      <c r="D490" s="14">
        <f>'COCA COLA CO'!J64</f>
        <v>23220</v>
      </c>
    </row>
    <row r="491" spans="1:4" x14ac:dyDescent="0.25">
      <c r="A491" s="13" t="s">
        <v>30</v>
      </c>
      <c r="B491" s="13" t="s">
        <v>70</v>
      </c>
      <c r="C491" s="13">
        <v>2016</v>
      </c>
      <c r="D491" s="14">
        <f>'COCA COLA CO'!J65</f>
        <v>87270</v>
      </c>
    </row>
    <row r="492" spans="1:4" x14ac:dyDescent="0.25">
      <c r="A492" s="13" t="s">
        <v>30</v>
      </c>
      <c r="B492" s="13" t="s">
        <v>32</v>
      </c>
      <c r="C492" s="13">
        <v>2017</v>
      </c>
      <c r="D492" s="14">
        <f>'COCA COLA CO'!K26</f>
        <v>6006</v>
      </c>
    </row>
    <row r="493" spans="1:4" x14ac:dyDescent="0.25">
      <c r="A493" s="13" t="s">
        <v>30</v>
      </c>
      <c r="B493" s="13" t="s">
        <v>33</v>
      </c>
      <c r="C493" s="13">
        <v>2017</v>
      </c>
      <c r="D493" s="14">
        <f>'COCA COLA CO'!K27</f>
        <v>9352</v>
      </c>
    </row>
    <row r="494" spans="1:4" x14ac:dyDescent="0.25">
      <c r="A494" s="13" t="s">
        <v>30</v>
      </c>
      <c r="B494" s="13" t="s">
        <v>34</v>
      </c>
      <c r="C494" s="13">
        <v>2017</v>
      </c>
      <c r="D494" s="14">
        <f>'COCA COLA CO'!K28</f>
        <v>15358</v>
      </c>
    </row>
    <row r="495" spans="1:4" x14ac:dyDescent="0.25">
      <c r="A495" s="13" t="s">
        <v>30</v>
      </c>
      <c r="B495" s="13" t="s">
        <v>35</v>
      </c>
      <c r="C495" s="13">
        <v>2017</v>
      </c>
      <c r="D495" s="14">
        <f>'COCA COLA CO'!K29</f>
        <v>5317</v>
      </c>
    </row>
    <row r="496" spans="1:4" x14ac:dyDescent="0.25">
      <c r="A496" s="13" t="s">
        <v>30</v>
      </c>
      <c r="B496" s="13" t="s">
        <v>36</v>
      </c>
      <c r="C496" s="13">
        <v>2017</v>
      </c>
      <c r="D496" s="14">
        <f>'COCA COLA CO'!K30</f>
        <v>3667</v>
      </c>
    </row>
    <row r="497" spans="1:4" x14ac:dyDescent="0.25">
      <c r="A497" s="13" t="s">
        <v>30</v>
      </c>
      <c r="B497" s="13" t="s">
        <v>37</v>
      </c>
      <c r="C497" s="13">
        <v>2017</v>
      </c>
      <c r="D497" s="14">
        <f>'COCA COLA CO'!K31</f>
        <v>2655</v>
      </c>
    </row>
    <row r="498" spans="1:4" x14ac:dyDescent="0.25">
      <c r="A498" s="13" t="s">
        <v>30</v>
      </c>
      <c r="B498" s="13" t="s">
        <v>38</v>
      </c>
      <c r="C498" s="13">
        <v>2017</v>
      </c>
      <c r="D498" s="14">
        <f>'COCA COLA CO'!K32</f>
        <v>2000</v>
      </c>
    </row>
    <row r="499" spans="1:4" x14ac:dyDescent="0.25">
      <c r="A499" s="13" t="s">
        <v>30</v>
      </c>
      <c r="B499" s="13" t="s">
        <v>39</v>
      </c>
      <c r="C499" s="13">
        <v>2017</v>
      </c>
      <c r="D499" s="14">
        <f>'COCA COLA CO'!K33</f>
        <v>7329</v>
      </c>
    </row>
    <row r="500" spans="1:4" x14ac:dyDescent="0.25">
      <c r="A500" s="13" t="s">
        <v>30</v>
      </c>
      <c r="B500" s="13" t="s">
        <v>39</v>
      </c>
      <c r="C500" s="13">
        <v>2017</v>
      </c>
      <c r="D500" s="14">
        <f>'COCA COLA CO'!K34</f>
        <v>219</v>
      </c>
    </row>
    <row r="501" spans="1:4" x14ac:dyDescent="0.25">
      <c r="A501" s="13" t="s">
        <v>30</v>
      </c>
      <c r="B501" s="13" t="s">
        <v>40</v>
      </c>
      <c r="C501" s="13">
        <v>2017</v>
      </c>
      <c r="D501" s="14">
        <f>'COCA COLA CO'!K35</f>
        <v>36545</v>
      </c>
    </row>
    <row r="502" spans="1:4" x14ac:dyDescent="0.25">
      <c r="A502" s="13" t="s">
        <v>30</v>
      </c>
      <c r="B502" s="13" t="s">
        <v>41</v>
      </c>
      <c r="C502" s="13">
        <v>2017</v>
      </c>
      <c r="D502" s="14">
        <f>'COCA COLA CO'!K36</f>
        <v>20856</v>
      </c>
    </row>
    <row r="503" spans="1:4" x14ac:dyDescent="0.25">
      <c r="A503" s="13" t="s">
        <v>30</v>
      </c>
      <c r="B503" s="13" t="s">
        <v>42</v>
      </c>
      <c r="C503" s="13">
        <v>2017</v>
      </c>
      <c r="D503" s="14">
        <f>'COCA COLA CO'!K37</f>
        <v>1096</v>
      </c>
    </row>
    <row r="504" spans="1:4" x14ac:dyDescent="0.25">
      <c r="A504" s="13" t="s">
        <v>30</v>
      </c>
      <c r="B504" s="13" t="s">
        <v>43</v>
      </c>
      <c r="C504" s="13">
        <v>2017</v>
      </c>
      <c r="D504" s="14">
        <f>'COCA COLA CO'!K38</f>
        <v>4230</v>
      </c>
    </row>
    <row r="505" spans="1:4" x14ac:dyDescent="0.25">
      <c r="A505" s="13" t="s">
        <v>30</v>
      </c>
      <c r="B505" s="13" t="s">
        <v>44</v>
      </c>
      <c r="C505" s="13">
        <v>2017</v>
      </c>
      <c r="D505" s="14">
        <f>'COCA COLA CO'!K39</f>
        <v>8203</v>
      </c>
    </row>
    <row r="506" spans="1:4" x14ac:dyDescent="0.25">
      <c r="A506" s="13" t="s">
        <v>30</v>
      </c>
      <c r="B506" s="13" t="s">
        <v>45</v>
      </c>
      <c r="C506" s="13">
        <v>2017</v>
      </c>
      <c r="D506" s="14">
        <f>'COCA COLA CO'!K40</f>
        <v>330</v>
      </c>
    </row>
    <row r="507" spans="1:4" x14ac:dyDescent="0.25">
      <c r="A507" s="13" t="s">
        <v>30</v>
      </c>
      <c r="B507" s="13" t="s">
        <v>46</v>
      </c>
      <c r="C507" s="13">
        <v>2017</v>
      </c>
      <c r="D507" s="14">
        <f>'COCA COLA CO'!K41</f>
        <v>6729</v>
      </c>
    </row>
    <row r="508" spans="1:4" x14ac:dyDescent="0.25">
      <c r="A508" s="13" t="s">
        <v>30</v>
      </c>
      <c r="B508" s="13" t="s">
        <v>47</v>
      </c>
      <c r="C508" s="13">
        <v>2017</v>
      </c>
      <c r="D508" s="14">
        <f>'COCA COLA CO'!K42</f>
        <v>138</v>
      </c>
    </row>
    <row r="509" spans="1:4" x14ac:dyDescent="0.25">
      <c r="A509" s="13" t="s">
        <v>30</v>
      </c>
      <c r="B509" s="13" t="s">
        <v>48</v>
      </c>
      <c r="C509" s="13">
        <v>2017</v>
      </c>
      <c r="D509" s="14">
        <f>'COCA COLA CO'!K43</f>
        <v>9401</v>
      </c>
    </row>
    <row r="510" spans="1:4" x14ac:dyDescent="0.25">
      <c r="A510" s="13" t="s">
        <v>30</v>
      </c>
      <c r="B510" s="13" t="s">
        <v>49</v>
      </c>
      <c r="C510" s="13">
        <v>2017</v>
      </c>
      <c r="D510" s="14">
        <f>'COCA COLA CO'!K44</f>
        <v>368</v>
      </c>
    </row>
    <row r="511" spans="1:4" x14ac:dyDescent="0.25">
      <c r="A511" s="13" t="s">
        <v>30</v>
      </c>
      <c r="B511" s="13" t="s">
        <v>50</v>
      </c>
      <c r="C511" s="13">
        <v>2017</v>
      </c>
      <c r="D511" s="14">
        <f>'COCA COLA CO'!K45</f>
        <v>87896</v>
      </c>
    </row>
    <row r="512" spans="1:4" x14ac:dyDescent="0.25">
      <c r="A512" s="13" t="s">
        <v>30</v>
      </c>
      <c r="B512" s="13" t="s">
        <v>51</v>
      </c>
      <c r="C512" s="13">
        <v>2017</v>
      </c>
      <c r="D512" s="14">
        <f>'COCA COLA CO'!K46</f>
        <v>0</v>
      </c>
    </row>
    <row r="513" spans="1:4" x14ac:dyDescent="0.25">
      <c r="A513" s="13" t="s">
        <v>30</v>
      </c>
      <c r="B513" s="13" t="s">
        <v>52</v>
      </c>
      <c r="C513" s="13">
        <v>2017</v>
      </c>
      <c r="D513" s="14">
        <f>'COCA COLA CO'!K47</f>
        <v>8748</v>
      </c>
    </row>
    <row r="514" spans="1:4" x14ac:dyDescent="0.25">
      <c r="A514" s="13" t="s">
        <v>30</v>
      </c>
      <c r="B514" s="13" t="s">
        <v>53</v>
      </c>
      <c r="C514" s="13">
        <v>2017</v>
      </c>
      <c r="D514" s="14">
        <f>'COCA COLA CO'!K48</f>
        <v>13205</v>
      </c>
    </row>
    <row r="515" spans="1:4" x14ac:dyDescent="0.25">
      <c r="A515" s="13" t="s">
        <v>30</v>
      </c>
      <c r="B515" s="13" t="s">
        <v>54</v>
      </c>
      <c r="C515" s="13">
        <v>2017</v>
      </c>
      <c r="D515" s="14">
        <f>'COCA COLA CO'!K49</f>
        <v>3298</v>
      </c>
    </row>
    <row r="516" spans="1:4" x14ac:dyDescent="0.25">
      <c r="A516" s="13" t="s">
        <v>30</v>
      </c>
      <c r="B516" s="13" t="s">
        <v>55</v>
      </c>
      <c r="C516" s="13">
        <v>2017</v>
      </c>
      <c r="D516" s="14">
        <f>'COCA COLA CO'!K50</f>
        <v>410</v>
      </c>
    </row>
    <row r="517" spans="1:4" x14ac:dyDescent="0.25">
      <c r="A517" s="13" t="s">
        <v>30</v>
      </c>
      <c r="B517" s="13" t="s">
        <v>56</v>
      </c>
      <c r="C517" s="13">
        <v>2017</v>
      </c>
      <c r="D517" s="14">
        <f>'COCA COLA CO'!K51</f>
        <v>37</v>
      </c>
    </row>
    <row r="518" spans="1:4" x14ac:dyDescent="0.25">
      <c r="A518" s="13" t="s">
        <v>30</v>
      </c>
      <c r="B518" s="13" t="s">
        <v>57</v>
      </c>
      <c r="C518" s="13">
        <v>2017</v>
      </c>
      <c r="D518" s="14">
        <f>'COCA COLA CO'!K52</f>
        <v>1496</v>
      </c>
    </row>
    <row r="519" spans="1:4" x14ac:dyDescent="0.25">
      <c r="A519" s="13" t="s">
        <v>30</v>
      </c>
      <c r="B519" s="13" t="s">
        <v>58</v>
      </c>
      <c r="C519" s="13">
        <v>2017</v>
      </c>
      <c r="D519" s="14">
        <f>'COCA COLA CO'!K53</f>
        <v>27194</v>
      </c>
    </row>
    <row r="520" spans="1:4" x14ac:dyDescent="0.25">
      <c r="A520" s="13" t="s">
        <v>30</v>
      </c>
      <c r="B520" s="13" t="s">
        <v>59</v>
      </c>
      <c r="C520" s="13">
        <v>2017</v>
      </c>
      <c r="D520" s="14">
        <f>'COCA COLA CO'!K54</f>
        <v>31182</v>
      </c>
    </row>
    <row r="521" spans="1:4" x14ac:dyDescent="0.25">
      <c r="A521" s="13" t="s">
        <v>30</v>
      </c>
      <c r="B521" s="13" t="s">
        <v>60</v>
      </c>
      <c r="C521" s="13">
        <v>2017</v>
      </c>
      <c r="D521" s="14">
        <f>'COCA COLA CO'!K55</f>
        <v>8021</v>
      </c>
    </row>
    <row r="522" spans="1:4" x14ac:dyDescent="0.25">
      <c r="A522" s="13" t="s">
        <v>30</v>
      </c>
      <c r="B522" s="13" t="s">
        <v>61</v>
      </c>
      <c r="C522" s="13">
        <v>2017</v>
      </c>
      <c r="D522" s="14">
        <f>'COCA COLA CO'!K56</f>
        <v>2522</v>
      </c>
    </row>
    <row r="523" spans="1:4" x14ac:dyDescent="0.25">
      <c r="A523" s="13" t="s">
        <v>30</v>
      </c>
      <c r="B523" s="13" t="s">
        <v>62</v>
      </c>
      <c r="C523" s="13">
        <v>2017</v>
      </c>
      <c r="D523" s="14">
        <f>'COCA COLA CO'!K57</f>
        <v>1760</v>
      </c>
    </row>
    <row r="524" spans="1:4" x14ac:dyDescent="0.25">
      <c r="A524" s="13" t="s">
        <v>30</v>
      </c>
      <c r="B524" s="13" t="s">
        <v>63</v>
      </c>
      <c r="C524" s="13">
        <v>2017</v>
      </c>
      <c r="D524" s="14">
        <f>'COCA COLA CO'!K58</f>
        <v>15864</v>
      </c>
    </row>
    <row r="525" spans="1:4" x14ac:dyDescent="0.25">
      <c r="A525" s="13" t="s">
        <v>30</v>
      </c>
      <c r="B525" s="13" t="s">
        <v>64</v>
      </c>
      <c r="C525" s="13">
        <v>2017</v>
      </c>
      <c r="D525" s="14">
        <f>'COCA COLA CO'!K59</f>
        <v>60430</v>
      </c>
    </row>
    <row r="526" spans="1:4" x14ac:dyDescent="0.25">
      <c r="A526" s="13" t="s">
        <v>30</v>
      </c>
      <c r="B526" s="13" t="s">
        <v>65</v>
      </c>
      <c r="C526" s="13">
        <v>2017</v>
      </c>
      <c r="D526" s="14">
        <f>'COCA COLA CO'!K60</f>
        <v>-10305</v>
      </c>
    </row>
    <row r="527" spans="1:4" x14ac:dyDescent="0.25">
      <c r="A527" s="13" t="s">
        <v>30</v>
      </c>
      <c r="B527" s="13" t="s">
        <v>66</v>
      </c>
      <c r="C527" s="13">
        <v>2017</v>
      </c>
      <c r="D527" s="14">
        <f>'COCA COLA CO'!K61</f>
        <v>-50677</v>
      </c>
    </row>
    <row r="528" spans="1:4" x14ac:dyDescent="0.25">
      <c r="A528" s="13" t="s">
        <v>30</v>
      </c>
      <c r="B528" s="13" t="s">
        <v>67</v>
      </c>
      <c r="C528" s="13">
        <v>2017</v>
      </c>
      <c r="D528" s="14">
        <f>'COCA COLA CO'!K62</f>
        <v>17072</v>
      </c>
    </row>
    <row r="529" spans="1:4" x14ac:dyDescent="0.25">
      <c r="A529" s="13" t="s">
        <v>30</v>
      </c>
      <c r="B529" s="13" t="s">
        <v>68</v>
      </c>
      <c r="C529" s="13">
        <v>2017</v>
      </c>
      <c r="D529" s="14">
        <f>'COCA COLA CO'!K63</f>
        <v>1905</v>
      </c>
    </row>
    <row r="530" spans="1:4" x14ac:dyDescent="0.25">
      <c r="A530" s="13" t="s">
        <v>30</v>
      </c>
      <c r="B530" s="13" t="s">
        <v>69</v>
      </c>
      <c r="C530" s="13">
        <v>2017</v>
      </c>
      <c r="D530" s="14">
        <f>'COCA COLA CO'!K64</f>
        <v>18977</v>
      </c>
    </row>
    <row r="531" spans="1:4" x14ac:dyDescent="0.25">
      <c r="A531" s="13" t="s">
        <v>30</v>
      </c>
      <c r="B531" s="13" t="s">
        <v>70</v>
      </c>
      <c r="C531" s="13">
        <v>2017</v>
      </c>
      <c r="D531" s="14">
        <f>'COCA COLA CO'!K65</f>
        <v>87896</v>
      </c>
    </row>
    <row r="532" spans="1:4" x14ac:dyDescent="0.25">
      <c r="A532" s="13" t="s">
        <v>30</v>
      </c>
      <c r="B532" s="13" t="s">
        <v>32</v>
      </c>
      <c r="C532" s="13">
        <v>2018</v>
      </c>
      <c r="D532" s="14">
        <f>'COCA COLA CO'!L26</f>
        <v>8926</v>
      </c>
    </row>
    <row r="533" spans="1:4" x14ac:dyDescent="0.25">
      <c r="A533" s="13" t="s">
        <v>30</v>
      </c>
      <c r="B533" s="13" t="s">
        <v>33</v>
      </c>
      <c r="C533" s="13">
        <v>2018</v>
      </c>
      <c r="D533" s="14">
        <f>'COCA COLA CO'!L27</f>
        <v>2025</v>
      </c>
    </row>
    <row r="534" spans="1:4" x14ac:dyDescent="0.25">
      <c r="A534" s="13" t="s">
        <v>30</v>
      </c>
      <c r="B534" s="13" t="s">
        <v>34</v>
      </c>
      <c r="C534" s="13">
        <v>2018</v>
      </c>
      <c r="D534" s="14">
        <f>'COCA COLA CO'!L28</f>
        <v>10951</v>
      </c>
    </row>
    <row r="535" spans="1:4" x14ac:dyDescent="0.25">
      <c r="A535" s="13" t="s">
        <v>30</v>
      </c>
      <c r="B535" s="13" t="s">
        <v>35</v>
      </c>
      <c r="C535" s="13">
        <v>2018</v>
      </c>
      <c r="D535" s="14">
        <f>'COCA COLA CO'!L29</f>
        <v>5013</v>
      </c>
    </row>
    <row r="536" spans="1:4" x14ac:dyDescent="0.25">
      <c r="A536" s="13" t="s">
        <v>30</v>
      </c>
      <c r="B536" s="13" t="s">
        <v>36</v>
      </c>
      <c r="C536" s="13">
        <v>2018</v>
      </c>
      <c r="D536" s="14">
        <f>'COCA COLA CO'!L30</f>
        <v>3396</v>
      </c>
    </row>
    <row r="537" spans="1:4" x14ac:dyDescent="0.25">
      <c r="A537" s="13" t="s">
        <v>30</v>
      </c>
      <c r="B537" s="13" t="s">
        <v>37</v>
      </c>
      <c r="C537" s="13">
        <v>2018</v>
      </c>
      <c r="D537" s="14">
        <f>'COCA COLA CO'!L31</f>
        <v>2766</v>
      </c>
    </row>
    <row r="538" spans="1:4" x14ac:dyDescent="0.25">
      <c r="A538" s="13" t="s">
        <v>30</v>
      </c>
      <c r="B538" s="13" t="s">
        <v>38</v>
      </c>
      <c r="C538" s="13">
        <v>2018</v>
      </c>
      <c r="D538" s="14">
        <f>'COCA COLA CO'!L32</f>
        <v>1962</v>
      </c>
    </row>
    <row r="539" spans="1:4" x14ac:dyDescent="0.25">
      <c r="A539" s="13" t="s">
        <v>30</v>
      </c>
      <c r="B539" s="13" t="s">
        <v>39</v>
      </c>
      <c r="C539" s="13">
        <v>2018</v>
      </c>
      <c r="D539" s="14">
        <f>'COCA COLA CO'!L33</f>
        <v>6546</v>
      </c>
    </row>
    <row r="540" spans="1:4" x14ac:dyDescent="0.25">
      <c r="A540" s="13" t="s">
        <v>30</v>
      </c>
      <c r="B540" s="13" t="s">
        <v>39</v>
      </c>
      <c r="C540" s="13">
        <v>2018</v>
      </c>
      <c r="D540" s="14">
        <f>'COCA COLA CO'!L34</f>
        <v>0</v>
      </c>
    </row>
    <row r="541" spans="1:4" x14ac:dyDescent="0.25">
      <c r="A541" s="13" t="s">
        <v>30</v>
      </c>
      <c r="B541" s="13" t="s">
        <v>40</v>
      </c>
      <c r="C541" s="13">
        <v>2018</v>
      </c>
      <c r="D541" s="14">
        <f>'COCA COLA CO'!L35</f>
        <v>30634</v>
      </c>
    </row>
    <row r="542" spans="1:4" x14ac:dyDescent="0.25">
      <c r="A542" s="13" t="s">
        <v>30</v>
      </c>
      <c r="B542" s="13" t="s">
        <v>41</v>
      </c>
      <c r="C542" s="13">
        <v>2018</v>
      </c>
      <c r="D542" s="14">
        <f>'COCA COLA CO'!L36</f>
        <v>19407</v>
      </c>
    </row>
    <row r="543" spans="1:4" x14ac:dyDescent="0.25">
      <c r="A543" s="13" t="s">
        <v>30</v>
      </c>
      <c r="B543" s="13" t="s">
        <v>42</v>
      </c>
      <c r="C543" s="13">
        <v>2018</v>
      </c>
      <c r="D543" s="14">
        <f>'COCA COLA CO'!L37</f>
        <v>867</v>
      </c>
    </row>
    <row r="544" spans="1:4" x14ac:dyDescent="0.25">
      <c r="A544" s="13" t="s">
        <v>30</v>
      </c>
      <c r="B544" s="13" t="s">
        <v>43</v>
      </c>
      <c r="C544" s="13">
        <v>2018</v>
      </c>
      <c r="D544" s="14">
        <f>'COCA COLA CO'!L38</f>
        <v>4139</v>
      </c>
    </row>
    <row r="545" spans="1:4" x14ac:dyDescent="0.25">
      <c r="A545" s="13" t="s">
        <v>30</v>
      </c>
      <c r="B545" s="13" t="s">
        <v>44</v>
      </c>
      <c r="C545" s="13">
        <v>2018</v>
      </c>
      <c r="D545" s="14">
        <f>'COCA COLA CO'!L39</f>
        <v>8232</v>
      </c>
    </row>
    <row r="546" spans="1:4" x14ac:dyDescent="0.25">
      <c r="A546" s="13" t="s">
        <v>30</v>
      </c>
      <c r="B546" s="13" t="s">
        <v>45</v>
      </c>
      <c r="C546" s="13">
        <v>2018</v>
      </c>
      <c r="D546" s="14">
        <f>'COCA COLA CO'!L40</f>
        <v>2667</v>
      </c>
    </row>
    <row r="547" spans="1:4" x14ac:dyDescent="0.25">
      <c r="A547" s="13" t="s">
        <v>30</v>
      </c>
      <c r="B547" s="13" t="s">
        <v>46</v>
      </c>
      <c r="C547" s="13">
        <v>2018</v>
      </c>
      <c r="D547" s="14">
        <f>'COCA COLA CO'!L41</f>
        <v>6682</v>
      </c>
    </row>
    <row r="548" spans="1:4" x14ac:dyDescent="0.25">
      <c r="A548" s="13" t="s">
        <v>30</v>
      </c>
      <c r="B548" s="13" t="s">
        <v>47</v>
      </c>
      <c r="C548" s="13">
        <v>2018</v>
      </c>
      <c r="D548" s="14">
        <f>'COCA COLA CO'!L42</f>
        <v>51</v>
      </c>
    </row>
    <row r="549" spans="1:4" x14ac:dyDescent="0.25">
      <c r="A549" s="13" t="s">
        <v>30</v>
      </c>
      <c r="B549" s="13" t="s">
        <v>48</v>
      </c>
      <c r="C549" s="13">
        <v>2018</v>
      </c>
      <c r="D549" s="14">
        <f>'COCA COLA CO'!L43</f>
        <v>10263</v>
      </c>
    </row>
    <row r="550" spans="1:4" x14ac:dyDescent="0.25">
      <c r="A550" s="13" t="s">
        <v>30</v>
      </c>
      <c r="B550" s="13" t="s">
        <v>49</v>
      </c>
      <c r="C550" s="13">
        <v>2018</v>
      </c>
      <c r="D550" s="14">
        <f>'COCA COLA CO'!L44</f>
        <v>274</v>
      </c>
    </row>
    <row r="551" spans="1:4" x14ac:dyDescent="0.25">
      <c r="A551" s="13" t="s">
        <v>30</v>
      </c>
      <c r="B551" s="13" t="s">
        <v>50</v>
      </c>
      <c r="C551" s="13">
        <v>2018</v>
      </c>
      <c r="D551" s="14">
        <f>'COCA COLA CO'!L45</f>
        <v>83216</v>
      </c>
    </row>
    <row r="552" spans="1:4" x14ac:dyDescent="0.25">
      <c r="A552" s="13" t="s">
        <v>30</v>
      </c>
      <c r="B552" s="13" t="s">
        <v>51</v>
      </c>
      <c r="C552" s="13">
        <v>2018</v>
      </c>
      <c r="D552" s="14">
        <f>'COCA COLA CO'!L46</f>
        <v>0</v>
      </c>
    </row>
    <row r="553" spans="1:4" x14ac:dyDescent="0.25">
      <c r="A553" s="13" t="s">
        <v>30</v>
      </c>
      <c r="B553" s="13" t="s">
        <v>52</v>
      </c>
      <c r="C553" s="13">
        <v>2018</v>
      </c>
      <c r="D553" s="14">
        <f>'COCA COLA CO'!L47</f>
        <v>8932</v>
      </c>
    </row>
    <row r="554" spans="1:4" x14ac:dyDescent="0.25">
      <c r="A554" s="13" t="s">
        <v>30</v>
      </c>
      <c r="B554" s="13" t="s">
        <v>53</v>
      </c>
      <c r="C554" s="13">
        <v>2018</v>
      </c>
      <c r="D554" s="14">
        <f>'COCA COLA CO'!L48</f>
        <v>13194</v>
      </c>
    </row>
    <row r="555" spans="1:4" x14ac:dyDescent="0.25">
      <c r="A555" s="13" t="s">
        <v>30</v>
      </c>
      <c r="B555" s="13" t="s">
        <v>54</v>
      </c>
      <c r="C555" s="13">
        <v>2018</v>
      </c>
      <c r="D555" s="14">
        <f>'COCA COLA CO'!L49</f>
        <v>4997</v>
      </c>
    </row>
    <row r="556" spans="1:4" x14ac:dyDescent="0.25">
      <c r="A556" s="13" t="s">
        <v>30</v>
      </c>
      <c r="B556" s="13" t="s">
        <v>55</v>
      </c>
      <c r="C556" s="13">
        <v>2018</v>
      </c>
      <c r="D556" s="14">
        <f>'COCA COLA CO'!L50</f>
        <v>378</v>
      </c>
    </row>
    <row r="557" spans="1:4" x14ac:dyDescent="0.25">
      <c r="A557" s="13" t="s">
        <v>30</v>
      </c>
      <c r="B557" s="13" t="s">
        <v>56</v>
      </c>
      <c r="C557" s="13">
        <v>2018</v>
      </c>
      <c r="D557" s="14">
        <f>'COCA COLA CO'!L51</f>
        <v>0</v>
      </c>
    </row>
    <row r="558" spans="1:4" x14ac:dyDescent="0.25">
      <c r="A558" s="13" t="s">
        <v>30</v>
      </c>
      <c r="B558" s="13" t="s">
        <v>57</v>
      </c>
      <c r="C558" s="13">
        <v>2018</v>
      </c>
      <c r="D558" s="14">
        <f>'COCA COLA CO'!L52</f>
        <v>1722</v>
      </c>
    </row>
    <row r="559" spans="1:4" x14ac:dyDescent="0.25">
      <c r="A559" s="13" t="s">
        <v>30</v>
      </c>
      <c r="B559" s="13" t="s">
        <v>58</v>
      </c>
      <c r="C559" s="13">
        <v>2018</v>
      </c>
      <c r="D559" s="14">
        <f>'COCA COLA CO'!L53</f>
        <v>29223</v>
      </c>
    </row>
    <row r="560" spans="1:4" x14ac:dyDescent="0.25">
      <c r="A560" s="13" t="s">
        <v>30</v>
      </c>
      <c r="B560" s="13" t="s">
        <v>59</v>
      </c>
      <c r="C560" s="13">
        <v>2018</v>
      </c>
      <c r="D560" s="14">
        <f>'COCA COLA CO'!L54</f>
        <v>25364</v>
      </c>
    </row>
    <row r="561" spans="1:4" x14ac:dyDescent="0.25">
      <c r="A561" s="13" t="s">
        <v>30</v>
      </c>
      <c r="B561" s="13" t="s">
        <v>60</v>
      </c>
      <c r="C561" s="13">
        <v>2018</v>
      </c>
      <c r="D561" s="14">
        <f>'COCA COLA CO'!L55</f>
        <v>7638</v>
      </c>
    </row>
    <row r="562" spans="1:4" x14ac:dyDescent="0.25">
      <c r="A562" s="13" t="s">
        <v>30</v>
      </c>
      <c r="B562" s="13" t="s">
        <v>61</v>
      </c>
      <c r="C562" s="13">
        <v>2018</v>
      </c>
      <c r="D562" s="14">
        <f>'COCA COLA CO'!L56</f>
        <v>1933</v>
      </c>
    </row>
    <row r="563" spans="1:4" x14ac:dyDescent="0.25">
      <c r="A563" s="13" t="s">
        <v>30</v>
      </c>
      <c r="B563" s="13" t="s">
        <v>62</v>
      </c>
      <c r="C563" s="13">
        <v>2018</v>
      </c>
      <c r="D563" s="14">
        <f>'COCA COLA CO'!L57</f>
        <v>1760</v>
      </c>
    </row>
    <row r="564" spans="1:4" x14ac:dyDescent="0.25">
      <c r="A564" s="13" t="s">
        <v>30</v>
      </c>
      <c r="B564" s="13" t="s">
        <v>63</v>
      </c>
      <c r="C564" s="13">
        <v>2018</v>
      </c>
      <c r="D564" s="14">
        <f>'COCA COLA CO'!L58</f>
        <v>16520</v>
      </c>
    </row>
    <row r="565" spans="1:4" x14ac:dyDescent="0.25">
      <c r="A565" s="13" t="s">
        <v>30</v>
      </c>
      <c r="B565" s="13" t="s">
        <v>64</v>
      </c>
      <c r="C565" s="13">
        <v>2018</v>
      </c>
      <c r="D565" s="14">
        <f>'COCA COLA CO'!L59</f>
        <v>63234</v>
      </c>
    </row>
    <row r="566" spans="1:4" x14ac:dyDescent="0.25">
      <c r="A566" s="13" t="s">
        <v>30</v>
      </c>
      <c r="B566" s="13" t="s">
        <v>65</v>
      </c>
      <c r="C566" s="13">
        <v>2018</v>
      </c>
      <c r="D566" s="14">
        <f>'COCA COLA CO'!L60</f>
        <v>-12814</v>
      </c>
    </row>
    <row r="567" spans="1:4" x14ac:dyDescent="0.25">
      <c r="A567" s="13" t="s">
        <v>30</v>
      </c>
      <c r="B567" s="13" t="s">
        <v>66</v>
      </c>
      <c r="C567" s="13">
        <v>2018</v>
      </c>
      <c r="D567" s="14">
        <f>'COCA COLA CO'!L61</f>
        <v>-51719</v>
      </c>
    </row>
    <row r="568" spans="1:4" x14ac:dyDescent="0.25">
      <c r="A568" s="13" t="s">
        <v>30</v>
      </c>
      <c r="B568" s="13" t="s">
        <v>67</v>
      </c>
      <c r="C568" s="13">
        <v>2018</v>
      </c>
      <c r="D568" s="14">
        <f>'COCA COLA CO'!L62</f>
        <v>16981</v>
      </c>
    </row>
    <row r="569" spans="1:4" x14ac:dyDescent="0.25">
      <c r="A569" s="13" t="s">
        <v>30</v>
      </c>
      <c r="B569" s="13" t="s">
        <v>68</v>
      </c>
      <c r="C569" s="13">
        <v>2018</v>
      </c>
      <c r="D569" s="14">
        <f>'COCA COLA CO'!L63</f>
        <v>2077</v>
      </c>
    </row>
    <row r="570" spans="1:4" x14ac:dyDescent="0.25">
      <c r="A570" s="13" t="s">
        <v>30</v>
      </c>
      <c r="B570" s="13" t="s">
        <v>69</v>
      </c>
      <c r="C570" s="13">
        <v>2018</v>
      </c>
      <c r="D570" s="14">
        <f>'COCA COLA CO'!L64</f>
        <v>19058</v>
      </c>
    </row>
    <row r="571" spans="1:4" x14ac:dyDescent="0.25">
      <c r="A571" s="13" t="s">
        <v>30</v>
      </c>
      <c r="B571" s="13" t="s">
        <v>70</v>
      </c>
      <c r="C571" s="13">
        <v>2018</v>
      </c>
      <c r="D571" s="14">
        <f>'COCA COLA CO'!L65</f>
        <v>83216</v>
      </c>
    </row>
    <row r="572" spans="1:4" x14ac:dyDescent="0.25">
      <c r="A572" s="15" t="s">
        <v>108</v>
      </c>
      <c r="B572" s="15" t="s">
        <v>25</v>
      </c>
      <c r="C572" s="15">
        <v>2009</v>
      </c>
      <c r="D572" s="16">
        <f>'COCA COLA CO'!C69</f>
        <v>6906</v>
      </c>
    </row>
    <row r="573" spans="1:4" x14ac:dyDescent="0.25">
      <c r="A573" s="15" t="s">
        <v>108</v>
      </c>
      <c r="B573" s="15" t="s">
        <v>72</v>
      </c>
      <c r="C573" s="15">
        <v>2009</v>
      </c>
      <c r="D573" s="16">
        <f>'COCA COLA CO'!C70</f>
        <v>1236</v>
      </c>
    </row>
    <row r="574" spans="1:4" x14ac:dyDescent="0.25">
      <c r="A574" s="15" t="s">
        <v>108</v>
      </c>
      <c r="B574" s="15" t="s">
        <v>73</v>
      </c>
      <c r="C574" s="15">
        <v>2009</v>
      </c>
      <c r="D574" s="16">
        <f>'COCA COLA CO'!C71</f>
        <v>0</v>
      </c>
    </row>
    <row r="575" spans="1:4" x14ac:dyDescent="0.25">
      <c r="A575" s="15" t="s">
        <v>108</v>
      </c>
      <c r="B575" s="15" t="s">
        <v>27</v>
      </c>
      <c r="C575" s="15">
        <v>2009</v>
      </c>
      <c r="D575" s="16">
        <f>'COCA COLA CO'!C72</f>
        <v>0</v>
      </c>
    </row>
    <row r="576" spans="1:4" x14ac:dyDescent="0.25">
      <c r="A576" s="15" t="s">
        <v>108</v>
      </c>
      <c r="B576" s="15" t="s">
        <v>74</v>
      </c>
      <c r="C576" s="15">
        <v>2009</v>
      </c>
      <c r="D576" s="16">
        <f>'COCA COLA CO'!C73</f>
        <v>241</v>
      </c>
    </row>
    <row r="577" spans="1:4" x14ac:dyDescent="0.25">
      <c r="A577" s="15" t="s">
        <v>108</v>
      </c>
      <c r="B577" s="15" t="s">
        <v>61</v>
      </c>
      <c r="C577" s="15">
        <v>2009</v>
      </c>
      <c r="D577" s="16">
        <f>'COCA COLA CO'!C74</f>
        <v>353</v>
      </c>
    </row>
    <row r="578" spans="1:4" x14ac:dyDescent="0.25">
      <c r="A578" s="15" t="s">
        <v>108</v>
      </c>
      <c r="B578" s="15" t="s">
        <v>75</v>
      </c>
      <c r="C578" s="15">
        <v>2009</v>
      </c>
      <c r="D578" s="16">
        <f>'COCA COLA CO'!C75</f>
        <v>-359</v>
      </c>
    </row>
    <row r="579" spans="1:4" x14ac:dyDescent="0.25">
      <c r="A579" s="15" t="s">
        <v>108</v>
      </c>
      <c r="B579" s="15" t="s">
        <v>76</v>
      </c>
      <c r="C579" s="15">
        <v>2009</v>
      </c>
      <c r="D579" s="16">
        <f>'COCA COLA CO'!C76</f>
        <v>61</v>
      </c>
    </row>
    <row r="580" spans="1:4" x14ac:dyDescent="0.25">
      <c r="A580" s="15" t="s">
        <v>108</v>
      </c>
      <c r="B580" s="15" t="s">
        <v>77</v>
      </c>
      <c r="C580" s="15">
        <v>2009</v>
      </c>
      <c r="D580" s="16">
        <f>'COCA COLA CO'!C77</f>
        <v>-43</v>
      </c>
    </row>
    <row r="581" spans="1:4" x14ac:dyDescent="0.25">
      <c r="A581" s="15" t="s">
        <v>108</v>
      </c>
      <c r="B581" s="15" t="s">
        <v>78</v>
      </c>
      <c r="C581" s="15">
        <v>2009</v>
      </c>
      <c r="D581" s="16">
        <f>'COCA COLA CO'!C78</f>
        <v>0</v>
      </c>
    </row>
    <row r="582" spans="1:4" x14ac:dyDescent="0.25">
      <c r="A582" s="15" t="s">
        <v>108</v>
      </c>
      <c r="B582" s="15" t="s">
        <v>17</v>
      </c>
      <c r="C582" s="15">
        <v>2009</v>
      </c>
      <c r="D582" s="16">
        <f>'COCA COLA CO'!C79</f>
        <v>134</v>
      </c>
    </row>
    <row r="583" spans="1:4" x14ac:dyDescent="0.25">
      <c r="A583" s="15" t="s">
        <v>108</v>
      </c>
      <c r="B583" s="15" t="s">
        <v>79</v>
      </c>
      <c r="C583" s="15">
        <v>2009</v>
      </c>
      <c r="D583" s="16">
        <f>'COCA COLA CO'!C80</f>
        <v>221</v>
      </c>
    </row>
    <row r="584" spans="1:4" x14ac:dyDescent="0.25">
      <c r="A584" s="15" t="s">
        <v>108</v>
      </c>
      <c r="B584" s="15" t="s">
        <v>80</v>
      </c>
      <c r="C584" s="15">
        <v>2009</v>
      </c>
      <c r="D584" s="16">
        <f>'COCA COLA CO'!C81</f>
        <v>-564</v>
      </c>
    </row>
    <row r="585" spans="1:4" x14ac:dyDescent="0.25">
      <c r="A585" s="15" t="s">
        <v>108</v>
      </c>
      <c r="B585" s="15" t="s">
        <v>81</v>
      </c>
      <c r="C585" s="15">
        <v>2009</v>
      </c>
      <c r="D585" s="16">
        <f>'COCA COLA CO'!C82</f>
        <v>8186</v>
      </c>
    </row>
    <row r="586" spans="1:4" x14ac:dyDescent="0.25">
      <c r="A586" s="15" t="s">
        <v>108</v>
      </c>
      <c r="B586" s="15" t="s">
        <v>82</v>
      </c>
      <c r="C586" s="15">
        <v>2009</v>
      </c>
      <c r="D586" s="16">
        <f>'COCA COLA CO'!C83</f>
        <v>-2130</v>
      </c>
    </row>
    <row r="587" spans="1:4" x14ac:dyDescent="0.25">
      <c r="A587" s="15" t="s">
        <v>108</v>
      </c>
      <c r="B587" s="15" t="s">
        <v>83</v>
      </c>
      <c r="C587" s="15">
        <v>2009</v>
      </c>
      <c r="D587" s="16">
        <f>'COCA COLA CO'!C84</f>
        <v>-22</v>
      </c>
    </row>
    <row r="588" spans="1:4" x14ac:dyDescent="0.25">
      <c r="A588" s="15" t="s">
        <v>108</v>
      </c>
      <c r="B588" s="15" t="s">
        <v>84</v>
      </c>
      <c r="C588" s="15">
        <v>2009</v>
      </c>
      <c r="D588" s="16">
        <f>'COCA COLA CO'!C85</f>
        <v>0</v>
      </c>
    </row>
    <row r="589" spans="1:4" x14ac:dyDescent="0.25">
      <c r="A589" s="15" t="s">
        <v>108</v>
      </c>
      <c r="B589" s="15" t="s">
        <v>85</v>
      </c>
      <c r="C589" s="15">
        <v>2009</v>
      </c>
      <c r="D589" s="16">
        <f>'COCA COLA CO'!C86</f>
        <v>-300</v>
      </c>
    </row>
    <row r="590" spans="1:4" x14ac:dyDescent="0.25">
      <c r="A590" s="15" t="s">
        <v>108</v>
      </c>
      <c r="B590" s="15" t="s">
        <v>86</v>
      </c>
      <c r="C590" s="15">
        <v>2009</v>
      </c>
      <c r="D590" s="16">
        <f>'COCA COLA CO'!C87</f>
        <v>240</v>
      </c>
    </row>
    <row r="591" spans="1:4" x14ac:dyDescent="0.25">
      <c r="A591" s="15" t="s">
        <v>108</v>
      </c>
      <c r="B591" s="15" t="s">
        <v>87</v>
      </c>
      <c r="C591" s="15">
        <v>2009</v>
      </c>
      <c r="D591" s="16">
        <f>'COCA COLA CO'!C88</f>
        <v>-1993</v>
      </c>
    </row>
    <row r="592" spans="1:4" x14ac:dyDescent="0.25">
      <c r="A592" s="15" t="s">
        <v>108</v>
      </c>
      <c r="B592" s="15" t="s">
        <v>88</v>
      </c>
      <c r="C592" s="15">
        <v>2009</v>
      </c>
      <c r="D592" s="16">
        <f>'COCA COLA CO'!C89</f>
        <v>104</v>
      </c>
    </row>
    <row r="593" spans="1:4" x14ac:dyDescent="0.25">
      <c r="A593" s="15" t="s">
        <v>108</v>
      </c>
      <c r="B593" s="15" t="s">
        <v>89</v>
      </c>
      <c r="C593" s="15">
        <v>2009</v>
      </c>
      <c r="D593" s="16">
        <f>'COCA COLA CO'!C90</f>
        <v>-48</v>
      </c>
    </row>
    <row r="594" spans="1:4" x14ac:dyDescent="0.25">
      <c r="A594" s="15" t="s">
        <v>108</v>
      </c>
      <c r="B594" s="15" t="s">
        <v>90</v>
      </c>
      <c r="C594" s="15">
        <v>2009</v>
      </c>
      <c r="D594" s="16">
        <f>'COCA COLA CO'!C91</f>
        <v>-4149</v>
      </c>
    </row>
    <row r="595" spans="1:4" x14ac:dyDescent="0.25">
      <c r="A595" s="15" t="s">
        <v>108</v>
      </c>
      <c r="B595" s="15" t="s">
        <v>91</v>
      </c>
      <c r="C595" s="15">
        <v>2009</v>
      </c>
      <c r="D595" s="16">
        <f>'COCA COLA CO'!C92</f>
        <v>14689</v>
      </c>
    </row>
    <row r="596" spans="1:4" x14ac:dyDescent="0.25">
      <c r="A596" s="15" t="s">
        <v>108</v>
      </c>
      <c r="B596" s="15" t="s">
        <v>92</v>
      </c>
      <c r="C596" s="15">
        <v>2009</v>
      </c>
      <c r="D596" s="16">
        <f>'COCA COLA CO'!C93</f>
        <v>-12326</v>
      </c>
    </row>
    <row r="597" spans="1:4" x14ac:dyDescent="0.25">
      <c r="A597" s="15" t="s">
        <v>108</v>
      </c>
      <c r="B597" s="15" t="s">
        <v>93</v>
      </c>
      <c r="C597" s="15">
        <v>2009</v>
      </c>
      <c r="D597" s="16">
        <f>'COCA COLA CO'!C94</f>
        <v>664</v>
      </c>
    </row>
    <row r="598" spans="1:4" x14ac:dyDescent="0.25">
      <c r="A598" s="15" t="s">
        <v>108</v>
      </c>
      <c r="B598" s="15" t="s">
        <v>94</v>
      </c>
      <c r="C598" s="15">
        <v>2009</v>
      </c>
      <c r="D598" s="16">
        <f>'COCA COLA CO'!C95</f>
        <v>-1518</v>
      </c>
    </row>
    <row r="599" spans="1:4" x14ac:dyDescent="0.25">
      <c r="A599" s="15" t="s">
        <v>108</v>
      </c>
      <c r="B599" s="15" t="s">
        <v>95</v>
      </c>
      <c r="C599" s="15">
        <v>2009</v>
      </c>
      <c r="D599" s="16">
        <f>'COCA COLA CO'!C96</f>
        <v>-3800</v>
      </c>
    </row>
    <row r="600" spans="1:4" x14ac:dyDescent="0.25">
      <c r="A600" s="15" t="s">
        <v>108</v>
      </c>
      <c r="B600" s="15" t="s">
        <v>96</v>
      </c>
      <c r="C600" s="15">
        <v>2009</v>
      </c>
      <c r="D600" s="16">
        <f>'COCA COLA CO'!C97</f>
        <v>-2</v>
      </c>
    </row>
    <row r="601" spans="1:4" x14ac:dyDescent="0.25">
      <c r="A601" s="15" t="s">
        <v>108</v>
      </c>
      <c r="B601" s="15" t="s">
        <v>97</v>
      </c>
      <c r="C601" s="15">
        <v>2009</v>
      </c>
      <c r="D601" s="16">
        <f>'COCA COLA CO'!C98</f>
        <v>-2293</v>
      </c>
    </row>
    <row r="602" spans="1:4" x14ac:dyDescent="0.25">
      <c r="A602" s="15" t="s">
        <v>108</v>
      </c>
      <c r="B602" s="15" t="s">
        <v>98</v>
      </c>
      <c r="C602" s="15">
        <v>2009</v>
      </c>
      <c r="D602" s="16">
        <f>'COCA COLA CO'!C99</f>
        <v>0</v>
      </c>
    </row>
    <row r="603" spans="1:4" x14ac:dyDescent="0.25">
      <c r="A603" s="15" t="s">
        <v>108</v>
      </c>
      <c r="B603" s="15" t="s">
        <v>99</v>
      </c>
      <c r="C603" s="15">
        <v>2009</v>
      </c>
      <c r="D603" s="16">
        <f>'COCA COLA CO'!C100</f>
        <v>576</v>
      </c>
    </row>
    <row r="604" spans="1:4" x14ac:dyDescent="0.25">
      <c r="A604" s="15" t="s">
        <v>108</v>
      </c>
      <c r="B604" s="15" t="s">
        <v>100</v>
      </c>
      <c r="C604" s="15">
        <v>2009</v>
      </c>
      <c r="D604" s="16">
        <f>'COCA COLA CO'!C101</f>
        <v>0</v>
      </c>
    </row>
    <row r="605" spans="1:4" x14ac:dyDescent="0.25">
      <c r="A605" s="15" t="s">
        <v>108</v>
      </c>
      <c r="B605" s="15" t="s">
        <v>101</v>
      </c>
      <c r="C605" s="15">
        <v>2009</v>
      </c>
      <c r="D605" s="16">
        <f>'COCA COLA CO'!C102</f>
        <v>0</v>
      </c>
    </row>
    <row r="606" spans="1:4" x14ac:dyDescent="0.25">
      <c r="A606" s="15" t="s">
        <v>108</v>
      </c>
      <c r="B606" s="15" t="s">
        <v>102</v>
      </c>
      <c r="C606" s="15">
        <v>2009</v>
      </c>
      <c r="D606" s="16">
        <f>'COCA COLA CO'!C103</f>
        <v>0</v>
      </c>
    </row>
    <row r="607" spans="1:4" x14ac:dyDescent="0.25">
      <c r="A607" s="15" t="s">
        <v>108</v>
      </c>
      <c r="B607" s="15" t="s">
        <v>103</v>
      </c>
      <c r="C607" s="15">
        <v>2009</v>
      </c>
      <c r="D607" s="16">
        <f>'COCA COLA CO'!C104</f>
        <v>2320</v>
      </c>
    </row>
    <row r="608" spans="1:4" x14ac:dyDescent="0.25">
      <c r="A608" s="15" t="s">
        <v>108</v>
      </c>
      <c r="B608" s="15" t="s">
        <v>25</v>
      </c>
      <c r="C608" s="15">
        <v>2010</v>
      </c>
      <c r="D608" s="16">
        <f>'COCA COLA CO'!D69</f>
        <v>11837</v>
      </c>
    </row>
    <row r="609" spans="1:4" x14ac:dyDescent="0.25">
      <c r="A609" s="15" t="s">
        <v>108</v>
      </c>
      <c r="B609" s="15" t="s">
        <v>72</v>
      </c>
      <c r="C609" s="15">
        <v>2010</v>
      </c>
      <c r="D609" s="16">
        <f>'COCA COLA CO'!D70</f>
        <v>1443</v>
      </c>
    </row>
    <row r="610" spans="1:4" x14ac:dyDescent="0.25">
      <c r="A610" s="15" t="s">
        <v>108</v>
      </c>
      <c r="B610" s="15" t="s">
        <v>73</v>
      </c>
      <c r="C610" s="15">
        <v>2010</v>
      </c>
      <c r="D610" s="16">
        <f>'COCA COLA CO'!D71</f>
        <v>0</v>
      </c>
    </row>
    <row r="611" spans="1:4" x14ac:dyDescent="0.25">
      <c r="A611" s="15" t="s">
        <v>108</v>
      </c>
      <c r="B611" s="15" t="s">
        <v>27</v>
      </c>
      <c r="C611" s="15">
        <v>2010</v>
      </c>
      <c r="D611" s="16">
        <f>'COCA COLA CO'!D72</f>
        <v>0</v>
      </c>
    </row>
    <row r="612" spans="1:4" x14ac:dyDescent="0.25">
      <c r="A612" s="15" t="s">
        <v>108</v>
      </c>
      <c r="B612" s="15" t="s">
        <v>74</v>
      </c>
      <c r="C612" s="15">
        <v>2010</v>
      </c>
      <c r="D612" s="16">
        <f>'COCA COLA CO'!D73</f>
        <v>380</v>
      </c>
    </row>
    <row r="613" spans="1:4" x14ac:dyDescent="0.25">
      <c r="A613" s="15" t="s">
        <v>108</v>
      </c>
      <c r="B613" s="15" t="s">
        <v>61</v>
      </c>
      <c r="C613" s="15">
        <v>2010</v>
      </c>
      <c r="D613" s="16">
        <f>'COCA COLA CO'!D74</f>
        <v>604</v>
      </c>
    </row>
    <row r="614" spans="1:4" x14ac:dyDescent="0.25">
      <c r="A614" s="15" t="s">
        <v>108</v>
      </c>
      <c r="B614" s="15" t="s">
        <v>75</v>
      </c>
      <c r="C614" s="15">
        <v>2010</v>
      </c>
      <c r="D614" s="16">
        <f>'COCA COLA CO'!D75</f>
        <v>-671</v>
      </c>
    </row>
    <row r="615" spans="1:4" x14ac:dyDescent="0.25">
      <c r="A615" s="15" t="s">
        <v>108</v>
      </c>
      <c r="B615" s="15" t="s">
        <v>76</v>
      </c>
      <c r="C615" s="15">
        <v>2010</v>
      </c>
      <c r="D615" s="16">
        <f>'COCA COLA CO'!D76</f>
        <v>151</v>
      </c>
    </row>
    <row r="616" spans="1:4" x14ac:dyDescent="0.25">
      <c r="A616" s="15" t="s">
        <v>108</v>
      </c>
      <c r="B616" s="15" t="s">
        <v>77</v>
      </c>
      <c r="C616" s="15">
        <v>2010</v>
      </c>
      <c r="D616" s="16">
        <f>'COCA COLA CO'!D77</f>
        <v>-645</v>
      </c>
    </row>
    <row r="617" spans="1:4" x14ac:dyDescent="0.25">
      <c r="A617" s="15" t="s">
        <v>108</v>
      </c>
      <c r="B617" s="15" t="s">
        <v>78</v>
      </c>
      <c r="C617" s="15">
        <v>2010</v>
      </c>
      <c r="D617" s="16">
        <f>'COCA COLA CO'!D78</f>
        <v>-4713</v>
      </c>
    </row>
    <row r="618" spans="1:4" x14ac:dyDescent="0.25">
      <c r="A618" s="15" t="s">
        <v>108</v>
      </c>
      <c r="B618" s="15" t="s">
        <v>17</v>
      </c>
      <c r="C618" s="15">
        <v>2010</v>
      </c>
      <c r="D618" s="16">
        <f>'COCA COLA CO'!D79</f>
        <v>264</v>
      </c>
    </row>
    <row r="619" spans="1:4" x14ac:dyDescent="0.25">
      <c r="A619" s="15" t="s">
        <v>108</v>
      </c>
      <c r="B619" s="15" t="s">
        <v>79</v>
      </c>
      <c r="C619" s="15">
        <v>2010</v>
      </c>
      <c r="D619" s="16">
        <f>'COCA COLA CO'!D80</f>
        <v>512</v>
      </c>
    </row>
    <row r="620" spans="1:4" x14ac:dyDescent="0.25">
      <c r="A620" s="15" t="s">
        <v>108</v>
      </c>
      <c r="B620" s="15" t="s">
        <v>80</v>
      </c>
      <c r="C620" s="15">
        <v>2010</v>
      </c>
      <c r="D620" s="16">
        <f>'COCA COLA CO'!D81</f>
        <v>370</v>
      </c>
    </row>
    <row r="621" spans="1:4" x14ac:dyDescent="0.25">
      <c r="A621" s="15" t="s">
        <v>108</v>
      </c>
      <c r="B621" s="15" t="s">
        <v>81</v>
      </c>
      <c r="C621" s="15">
        <v>2010</v>
      </c>
      <c r="D621" s="16">
        <f>'COCA COLA CO'!D82</f>
        <v>9532</v>
      </c>
    </row>
    <row r="622" spans="1:4" x14ac:dyDescent="0.25">
      <c r="A622" s="15" t="s">
        <v>108</v>
      </c>
      <c r="B622" s="15" t="s">
        <v>82</v>
      </c>
      <c r="C622" s="15">
        <v>2010</v>
      </c>
      <c r="D622" s="16">
        <f>'COCA COLA CO'!D83</f>
        <v>-4579</v>
      </c>
    </row>
    <row r="623" spans="1:4" x14ac:dyDescent="0.25">
      <c r="A623" s="15" t="s">
        <v>108</v>
      </c>
      <c r="B623" s="15" t="s">
        <v>83</v>
      </c>
      <c r="C623" s="15">
        <v>2010</v>
      </c>
      <c r="D623" s="16">
        <f>'COCA COLA CO'!D84</f>
        <v>-132</v>
      </c>
    </row>
    <row r="624" spans="1:4" x14ac:dyDescent="0.25">
      <c r="A624" s="15" t="s">
        <v>108</v>
      </c>
      <c r="B624" s="15" t="s">
        <v>84</v>
      </c>
      <c r="C624" s="15">
        <v>2010</v>
      </c>
      <c r="D624" s="16">
        <f>'COCA COLA CO'!D85</f>
        <v>4032</v>
      </c>
    </row>
    <row r="625" spans="1:4" x14ac:dyDescent="0.25">
      <c r="A625" s="15" t="s">
        <v>108</v>
      </c>
      <c r="B625" s="15" t="s">
        <v>85</v>
      </c>
      <c r="C625" s="15">
        <v>2010</v>
      </c>
      <c r="D625" s="16">
        <f>'COCA COLA CO'!D86</f>
        <v>-2511</v>
      </c>
    </row>
    <row r="626" spans="1:4" x14ac:dyDescent="0.25">
      <c r="A626" s="15" t="s">
        <v>108</v>
      </c>
      <c r="B626" s="15" t="s">
        <v>86</v>
      </c>
      <c r="C626" s="15">
        <v>2010</v>
      </c>
      <c r="D626" s="16">
        <f>'COCA COLA CO'!D87</f>
        <v>972</v>
      </c>
    </row>
    <row r="627" spans="1:4" x14ac:dyDescent="0.25">
      <c r="A627" s="15" t="s">
        <v>108</v>
      </c>
      <c r="B627" s="15" t="s">
        <v>87</v>
      </c>
      <c r="C627" s="15">
        <v>2010</v>
      </c>
      <c r="D627" s="16">
        <f>'COCA COLA CO'!D88</f>
        <v>-2215</v>
      </c>
    </row>
    <row r="628" spans="1:4" x14ac:dyDescent="0.25">
      <c r="A628" s="15" t="s">
        <v>108</v>
      </c>
      <c r="B628" s="15" t="s">
        <v>88</v>
      </c>
      <c r="C628" s="15">
        <v>2010</v>
      </c>
      <c r="D628" s="16">
        <f>'COCA COLA CO'!D89</f>
        <v>134</v>
      </c>
    </row>
    <row r="629" spans="1:4" x14ac:dyDescent="0.25">
      <c r="A629" s="15" t="s">
        <v>108</v>
      </c>
      <c r="B629" s="15" t="s">
        <v>89</v>
      </c>
      <c r="C629" s="15">
        <v>2010</v>
      </c>
      <c r="D629" s="16">
        <f>'COCA COLA CO'!D90</f>
        <v>-106</v>
      </c>
    </row>
    <row r="630" spans="1:4" x14ac:dyDescent="0.25">
      <c r="A630" s="15" t="s">
        <v>108</v>
      </c>
      <c r="B630" s="15" t="s">
        <v>90</v>
      </c>
      <c r="C630" s="15">
        <v>2010</v>
      </c>
      <c r="D630" s="16">
        <f>'COCA COLA CO'!D91</f>
        <v>-4405</v>
      </c>
    </row>
    <row r="631" spans="1:4" x14ac:dyDescent="0.25">
      <c r="A631" s="15" t="s">
        <v>108</v>
      </c>
      <c r="B631" s="15" t="s">
        <v>91</v>
      </c>
      <c r="C631" s="15">
        <v>2010</v>
      </c>
      <c r="D631" s="16">
        <f>'COCA COLA CO'!D92</f>
        <v>15251</v>
      </c>
    </row>
    <row r="632" spans="1:4" x14ac:dyDescent="0.25">
      <c r="A632" s="15" t="s">
        <v>108</v>
      </c>
      <c r="B632" s="15" t="s">
        <v>92</v>
      </c>
      <c r="C632" s="15">
        <v>2010</v>
      </c>
      <c r="D632" s="16">
        <f>'COCA COLA CO'!D93</f>
        <v>-13403</v>
      </c>
    </row>
    <row r="633" spans="1:4" x14ac:dyDescent="0.25">
      <c r="A633" s="15" t="s">
        <v>108</v>
      </c>
      <c r="B633" s="15" t="s">
        <v>93</v>
      </c>
      <c r="C633" s="15">
        <v>2010</v>
      </c>
      <c r="D633" s="16">
        <f>'COCA COLA CO'!D94</f>
        <v>1666</v>
      </c>
    </row>
    <row r="634" spans="1:4" x14ac:dyDescent="0.25">
      <c r="A634" s="15" t="s">
        <v>108</v>
      </c>
      <c r="B634" s="15" t="s">
        <v>94</v>
      </c>
      <c r="C634" s="15">
        <v>2010</v>
      </c>
      <c r="D634" s="16">
        <f>'COCA COLA CO'!D95</f>
        <v>-2961</v>
      </c>
    </row>
    <row r="635" spans="1:4" x14ac:dyDescent="0.25">
      <c r="A635" s="15" t="s">
        <v>108</v>
      </c>
      <c r="B635" s="15" t="s">
        <v>95</v>
      </c>
      <c r="C635" s="15">
        <v>2010</v>
      </c>
      <c r="D635" s="16">
        <f>'COCA COLA CO'!D96</f>
        <v>-4068</v>
      </c>
    </row>
    <row r="636" spans="1:4" x14ac:dyDescent="0.25">
      <c r="A636" s="15" t="s">
        <v>108</v>
      </c>
      <c r="B636" s="15" t="s">
        <v>96</v>
      </c>
      <c r="C636" s="15">
        <v>2010</v>
      </c>
      <c r="D636" s="16">
        <f>'COCA COLA CO'!D97</f>
        <v>50</v>
      </c>
    </row>
    <row r="637" spans="1:4" x14ac:dyDescent="0.25">
      <c r="A637" s="15" t="s">
        <v>108</v>
      </c>
      <c r="B637" s="15" t="s">
        <v>97</v>
      </c>
      <c r="C637" s="15">
        <v>2010</v>
      </c>
      <c r="D637" s="16">
        <f>'COCA COLA CO'!D98</f>
        <v>-3465</v>
      </c>
    </row>
    <row r="638" spans="1:4" x14ac:dyDescent="0.25">
      <c r="A638" s="15" t="s">
        <v>108</v>
      </c>
      <c r="B638" s="15" t="s">
        <v>98</v>
      </c>
      <c r="C638" s="15">
        <v>2010</v>
      </c>
      <c r="D638" s="16">
        <f>'COCA COLA CO'!D99</f>
        <v>0</v>
      </c>
    </row>
    <row r="639" spans="1:4" x14ac:dyDescent="0.25">
      <c r="A639" s="15" t="s">
        <v>108</v>
      </c>
      <c r="B639" s="15" t="s">
        <v>99</v>
      </c>
      <c r="C639" s="15">
        <v>2010</v>
      </c>
      <c r="D639" s="16">
        <f>'COCA COLA CO'!D100</f>
        <v>-166</v>
      </c>
    </row>
    <row r="640" spans="1:4" x14ac:dyDescent="0.25">
      <c r="A640" s="15" t="s">
        <v>108</v>
      </c>
      <c r="B640" s="15" t="s">
        <v>100</v>
      </c>
      <c r="C640" s="15">
        <v>2010</v>
      </c>
      <c r="D640" s="16">
        <f>'COCA COLA CO'!D101</f>
        <v>0</v>
      </c>
    </row>
    <row r="641" spans="1:4" x14ac:dyDescent="0.25">
      <c r="A641" s="15" t="s">
        <v>108</v>
      </c>
      <c r="B641" s="15" t="s">
        <v>101</v>
      </c>
      <c r="C641" s="15">
        <v>2010</v>
      </c>
      <c r="D641" s="16">
        <f>'COCA COLA CO'!D102</f>
        <v>0</v>
      </c>
    </row>
    <row r="642" spans="1:4" x14ac:dyDescent="0.25">
      <c r="A642" s="15" t="s">
        <v>108</v>
      </c>
      <c r="B642" s="15" t="s">
        <v>102</v>
      </c>
      <c r="C642" s="15">
        <v>2010</v>
      </c>
      <c r="D642" s="16">
        <f>'COCA COLA CO'!D103</f>
        <v>0</v>
      </c>
    </row>
    <row r="643" spans="1:4" x14ac:dyDescent="0.25">
      <c r="A643" s="15" t="s">
        <v>108</v>
      </c>
      <c r="B643" s="15" t="s">
        <v>103</v>
      </c>
      <c r="C643" s="15">
        <v>2010</v>
      </c>
      <c r="D643" s="16">
        <f>'COCA COLA CO'!D104</f>
        <v>1496</v>
      </c>
    </row>
    <row r="644" spans="1:4" x14ac:dyDescent="0.25">
      <c r="A644" s="15" t="s">
        <v>108</v>
      </c>
      <c r="B644" s="15" t="s">
        <v>25</v>
      </c>
      <c r="C644" s="15">
        <v>2011</v>
      </c>
      <c r="D644" s="16">
        <f>'COCA COLA CO'!E69</f>
        <v>8646</v>
      </c>
    </row>
    <row r="645" spans="1:4" x14ac:dyDescent="0.25">
      <c r="A645" s="15" t="s">
        <v>108</v>
      </c>
      <c r="B645" s="15" t="s">
        <v>72</v>
      </c>
      <c r="C645" s="15">
        <v>2011</v>
      </c>
      <c r="D645" s="16">
        <f>'COCA COLA CO'!E70</f>
        <v>1954</v>
      </c>
    </row>
    <row r="646" spans="1:4" x14ac:dyDescent="0.25">
      <c r="A646" s="15" t="s">
        <v>108</v>
      </c>
      <c r="B646" s="15" t="s">
        <v>73</v>
      </c>
      <c r="C646" s="15">
        <v>2011</v>
      </c>
      <c r="D646" s="16">
        <f>'COCA COLA CO'!E71</f>
        <v>0</v>
      </c>
    </row>
    <row r="647" spans="1:4" x14ac:dyDescent="0.25">
      <c r="A647" s="15" t="s">
        <v>108</v>
      </c>
      <c r="B647" s="15" t="s">
        <v>27</v>
      </c>
      <c r="C647" s="15">
        <v>2011</v>
      </c>
      <c r="D647" s="16">
        <f>'COCA COLA CO'!E72</f>
        <v>0</v>
      </c>
    </row>
    <row r="648" spans="1:4" x14ac:dyDescent="0.25">
      <c r="A648" s="15" t="s">
        <v>108</v>
      </c>
      <c r="B648" s="15" t="s">
        <v>74</v>
      </c>
      <c r="C648" s="15">
        <v>2011</v>
      </c>
      <c r="D648" s="16">
        <f>'COCA COLA CO'!E73</f>
        <v>354</v>
      </c>
    </row>
    <row r="649" spans="1:4" x14ac:dyDescent="0.25">
      <c r="A649" s="15" t="s">
        <v>108</v>
      </c>
      <c r="B649" s="15" t="s">
        <v>61</v>
      </c>
      <c r="C649" s="15">
        <v>2011</v>
      </c>
      <c r="D649" s="16">
        <f>'COCA COLA CO'!E74</f>
        <v>1035</v>
      </c>
    </row>
    <row r="650" spans="1:4" x14ac:dyDescent="0.25">
      <c r="A650" s="15" t="s">
        <v>108</v>
      </c>
      <c r="B650" s="15" t="s">
        <v>75</v>
      </c>
      <c r="C650" s="15">
        <v>2011</v>
      </c>
      <c r="D650" s="16">
        <f>'COCA COLA CO'!E75</f>
        <v>-269</v>
      </c>
    </row>
    <row r="651" spans="1:4" x14ac:dyDescent="0.25">
      <c r="A651" s="15" t="s">
        <v>108</v>
      </c>
      <c r="B651" s="15" t="s">
        <v>76</v>
      </c>
      <c r="C651" s="15">
        <v>2011</v>
      </c>
      <c r="D651" s="16">
        <f>'COCA COLA CO'!E76</f>
        <v>7</v>
      </c>
    </row>
    <row r="652" spans="1:4" x14ac:dyDescent="0.25">
      <c r="A652" s="15" t="s">
        <v>108</v>
      </c>
      <c r="B652" s="15" t="s">
        <v>77</v>
      </c>
      <c r="C652" s="15">
        <v>2011</v>
      </c>
      <c r="D652" s="16">
        <f>'COCA COLA CO'!E77</f>
        <v>-220</v>
      </c>
    </row>
    <row r="653" spans="1:4" x14ac:dyDescent="0.25">
      <c r="A653" s="15" t="s">
        <v>108</v>
      </c>
      <c r="B653" s="15" t="s">
        <v>78</v>
      </c>
      <c r="C653" s="15">
        <v>2011</v>
      </c>
      <c r="D653" s="16">
        <f>'COCA COLA CO'!E78</f>
        <v>0</v>
      </c>
    </row>
    <row r="654" spans="1:4" x14ac:dyDescent="0.25">
      <c r="A654" s="15" t="s">
        <v>108</v>
      </c>
      <c r="B654" s="15" t="s">
        <v>17</v>
      </c>
      <c r="C654" s="15">
        <v>2011</v>
      </c>
      <c r="D654" s="16">
        <f>'COCA COLA CO'!E79</f>
        <v>214</v>
      </c>
    </row>
    <row r="655" spans="1:4" x14ac:dyDescent="0.25">
      <c r="A655" s="15" t="s">
        <v>108</v>
      </c>
      <c r="B655" s="15" t="s">
        <v>79</v>
      </c>
      <c r="C655" s="15">
        <v>2011</v>
      </c>
      <c r="D655" s="16">
        <f>'COCA COLA CO'!E80</f>
        <v>-354</v>
      </c>
    </row>
    <row r="656" spans="1:4" x14ac:dyDescent="0.25">
      <c r="A656" s="15" t="s">
        <v>108</v>
      </c>
      <c r="B656" s="15" t="s">
        <v>80</v>
      </c>
      <c r="C656" s="15">
        <v>2011</v>
      </c>
      <c r="D656" s="16">
        <f>'COCA COLA CO'!E81</f>
        <v>-1893</v>
      </c>
    </row>
    <row r="657" spans="1:4" x14ac:dyDescent="0.25">
      <c r="A657" s="15" t="s">
        <v>108</v>
      </c>
      <c r="B657" s="15" t="s">
        <v>81</v>
      </c>
      <c r="C657" s="15">
        <v>2011</v>
      </c>
      <c r="D657" s="16">
        <f>'COCA COLA CO'!E82</f>
        <v>9474</v>
      </c>
    </row>
    <row r="658" spans="1:4" x14ac:dyDescent="0.25">
      <c r="A658" s="15" t="s">
        <v>108</v>
      </c>
      <c r="B658" s="15" t="s">
        <v>82</v>
      </c>
      <c r="C658" s="15">
        <v>2011</v>
      </c>
      <c r="D658" s="16">
        <f>'COCA COLA CO'!E83</f>
        <v>0</v>
      </c>
    </row>
    <row r="659" spans="1:4" x14ac:dyDescent="0.25">
      <c r="A659" s="15" t="s">
        <v>108</v>
      </c>
      <c r="B659" s="15" t="s">
        <v>83</v>
      </c>
      <c r="C659" s="15">
        <v>2011</v>
      </c>
      <c r="D659" s="16">
        <f>'COCA COLA CO'!E84</f>
        <v>-4798</v>
      </c>
    </row>
    <row r="660" spans="1:4" x14ac:dyDescent="0.25">
      <c r="A660" s="15" t="s">
        <v>108</v>
      </c>
      <c r="B660" s="15" t="s">
        <v>84</v>
      </c>
      <c r="C660" s="15">
        <v>2011</v>
      </c>
      <c r="D660" s="16">
        <f>'COCA COLA CO'!E85</f>
        <v>5811</v>
      </c>
    </row>
    <row r="661" spans="1:4" x14ac:dyDescent="0.25">
      <c r="A661" s="15" t="s">
        <v>108</v>
      </c>
      <c r="B661" s="15" t="s">
        <v>85</v>
      </c>
      <c r="C661" s="15">
        <v>2011</v>
      </c>
      <c r="D661" s="16">
        <f>'COCA COLA CO'!E86</f>
        <v>-971</v>
      </c>
    </row>
    <row r="662" spans="1:4" x14ac:dyDescent="0.25">
      <c r="A662" s="15" t="s">
        <v>108</v>
      </c>
      <c r="B662" s="15" t="s">
        <v>86</v>
      </c>
      <c r="C662" s="15">
        <v>2011</v>
      </c>
      <c r="D662" s="16">
        <f>'COCA COLA CO'!E87</f>
        <v>398</v>
      </c>
    </row>
    <row r="663" spans="1:4" x14ac:dyDescent="0.25">
      <c r="A663" s="15" t="s">
        <v>108</v>
      </c>
      <c r="B663" s="15" t="s">
        <v>87</v>
      </c>
      <c r="C663" s="15">
        <v>2011</v>
      </c>
      <c r="D663" s="16">
        <f>'COCA COLA CO'!E88</f>
        <v>-2920</v>
      </c>
    </row>
    <row r="664" spans="1:4" x14ac:dyDescent="0.25">
      <c r="A664" s="15" t="s">
        <v>108</v>
      </c>
      <c r="B664" s="15" t="s">
        <v>88</v>
      </c>
      <c r="C664" s="15">
        <v>2011</v>
      </c>
      <c r="D664" s="16">
        <f>'COCA COLA CO'!E89</f>
        <v>101</v>
      </c>
    </row>
    <row r="665" spans="1:4" x14ac:dyDescent="0.25">
      <c r="A665" s="15" t="s">
        <v>108</v>
      </c>
      <c r="B665" s="15" t="s">
        <v>89</v>
      </c>
      <c r="C665" s="15">
        <v>2011</v>
      </c>
      <c r="D665" s="16">
        <f>'COCA COLA CO'!E90</f>
        <v>-145</v>
      </c>
    </row>
    <row r="666" spans="1:4" x14ac:dyDescent="0.25">
      <c r="A666" s="15" t="s">
        <v>108</v>
      </c>
      <c r="B666" s="15" t="s">
        <v>90</v>
      </c>
      <c r="C666" s="15">
        <v>2011</v>
      </c>
      <c r="D666" s="16">
        <f>'COCA COLA CO'!E91</f>
        <v>-2524</v>
      </c>
    </row>
    <row r="667" spans="1:4" x14ac:dyDescent="0.25">
      <c r="A667" s="15" t="s">
        <v>108</v>
      </c>
      <c r="B667" s="15" t="s">
        <v>91</v>
      </c>
      <c r="C667" s="15">
        <v>2011</v>
      </c>
      <c r="D667" s="16">
        <f>'COCA COLA CO'!E92</f>
        <v>27495</v>
      </c>
    </row>
    <row r="668" spans="1:4" x14ac:dyDescent="0.25">
      <c r="A668" s="15" t="s">
        <v>108</v>
      </c>
      <c r="B668" s="15" t="s">
        <v>92</v>
      </c>
      <c r="C668" s="15">
        <v>2011</v>
      </c>
      <c r="D668" s="16">
        <f>'COCA COLA CO'!E93</f>
        <v>-22530</v>
      </c>
    </row>
    <row r="669" spans="1:4" x14ac:dyDescent="0.25">
      <c r="A669" s="15" t="s">
        <v>108</v>
      </c>
      <c r="B669" s="15" t="s">
        <v>93</v>
      </c>
      <c r="C669" s="15">
        <v>2011</v>
      </c>
      <c r="D669" s="16">
        <f>'COCA COLA CO'!E94</f>
        <v>1569</v>
      </c>
    </row>
    <row r="670" spans="1:4" x14ac:dyDescent="0.25">
      <c r="A670" s="15" t="s">
        <v>108</v>
      </c>
      <c r="B670" s="15" t="s">
        <v>94</v>
      </c>
      <c r="C670" s="15">
        <v>2011</v>
      </c>
      <c r="D670" s="16">
        <f>'COCA COLA CO'!E95</f>
        <v>-4513</v>
      </c>
    </row>
    <row r="671" spans="1:4" x14ac:dyDescent="0.25">
      <c r="A671" s="15" t="s">
        <v>108</v>
      </c>
      <c r="B671" s="15" t="s">
        <v>95</v>
      </c>
      <c r="C671" s="15">
        <v>2011</v>
      </c>
      <c r="D671" s="16">
        <f>'COCA COLA CO'!E96</f>
        <v>-4300</v>
      </c>
    </row>
    <row r="672" spans="1:4" x14ac:dyDescent="0.25">
      <c r="A672" s="15" t="s">
        <v>108</v>
      </c>
      <c r="B672" s="15" t="s">
        <v>96</v>
      </c>
      <c r="C672" s="15">
        <v>2011</v>
      </c>
      <c r="D672" s="16">
        <f>'COCA COLA CO'!E97</f>
        <v>45</v>
      </c>
    </row>
    <row r="673" spans="1:4" x14ac:dyDescent="0.25">
      <c r="A673" s="15" t="s">
        <v>108</v>
      </c>
      <c r="B673" s="15" t="s">
        <v>97</v>
      </c>
      <c r="C673" s="15">
        <v>2011</v>
      </c>
      <c r="D673" s="16">
        <f>'COCA COLA CO'!E98</f>
        <v>-2234</v>
      </c>
    </row>
    <row r="674" spans="1:4" x14ac:dyDescent="0.25">
      <c r="A674" s="15" t="s">
        <v>108</v>
      </c>
      <c r="B674" s="15" t="s">
        <v>98</v>
      </c>
      <c r="C674" s="15">
        <v>2011</v>
      </c>
      <c r="D674" s="16">
        <f>'COCA COLA CO'!E99</f>
        <v>0</v>
      </c>
    </row>
    <row r="675" spans="1:4" x14ac:dyDescent="0.25">
      <c r="A675" s="15" t="s">
        <v>108</v>
      </c>
      <c r="B675" s="15" t="s">
        <v>99</v>
      </c>
      <c r="C675" s="15">
        <v>2011</v>
      </c>
      <c r="D675" s="16">
        <f>'COCA COLA CO'!E100</f>
        <v>-430</v>
      </c>
    </row>
    <row r="676" spans="1:4" x14ac:dyDescent="0.25">
      <c r="A676" s="15" t="s">
        <v>108</v>
      </c>
      <c r="B676" s="15" t="s">
        <v>100</v>
      </c>
      <c r="C676" s="15">
        <v>2011</v>
      </c>
      <c r="D676" s="16">
        <f>'COCA COLA CO'!E101</f>
        <v>0</v>
      </c>
    </row>
    <row r="677" spans="1:4" x14ac:dyDescent="0.25">
      <c r="A677" s="15" t="s">
        <v>108</v>
      </c>
      <c r="B677" s="15" t="s">
        <v>101</v>
      </c>
      <c r="C677" s="15">
        <v>2011</v>
      </c>
      <c r="D677" s="16">
        <f>'COCA COLA CO'!E102</f>
        <v>0</v>
      </c>
    </row>
    <row r="678" spans="1:4" x14ac:dyDescent="0.25">
      <c r="A678" s="15" t="s">
        <v>108</v>
      </c>
      <c r="B678" s="15" t="s">
        <v>102</v>
      </c>
      <c r="C678" s="15">
        <v>2011</v>
      </c>
      <c r="D678" s="16">
        <f>'COCA COLA CO'!E103</f>
        <v>0</v>
      </c>
    </row>
    <row r="679" spans="1:4" x14ac:dyDescent="0.25">
      <c r="A679" s="15" t="s">
        <v>108</v>
      </c>
      <c r="B679" s="15" t="s">
        <v>103</v>
      </c>
      <c r="C679" s="15">
        <v>2011</v>
      </c>
      <c r="D679" s="16">
        <f>'COCA COLA CO'!E104</f>
        <v>4286</v>
      </c>
    </row>
    <row r="680" spans="1:4" x14ac:dyDescent="0.25">
      <c r="A680" s="15" t="s">
        <v>108</v>
      </c>
      <c r="B680" s="15" t="s">
        <v>25</v>
      </c>
      <c r="C680" s="15">
        <v>2012</v>
      </c>
      <c r="D680" s="16">
        <f>'COCA COLA CO'!F69</f>
        <v>9086</v>
      </c>
    </row>
    <row r="681" spans="1:4" x14ac:dyDescent="0.25">
      <c r="A681" s="15" t="s">
        <v>108</v>
      </c>
      <c r="B681" s="15" t="s">
        <v>72</v>
      </c>
      <c r="C681" s="15">
        <v>2012</v>
      </c>
      <c r="D681" s="16">
        <f>'COCA COLA CO'!F70</f>
        <v>1982</v>
      </c>
    </row>
    <row r="682" spans="1:4" x14ac:dyDescent="0.25">
      <c r="A682" s="15" t="s">
        <v>108</v>
      </c>
      <c r="B682" s="15" t="s">
        <v>73</v>
      </c>
      <c r="C682" s="15">
        <v>2012</v>
      </c>
      <c r="D682" s="16">
        <f>'COCA COLA CO'!F71</f>
        <v>0</v>
      </c>
    </row>
    <row r="683" spans="1:4" x14ac:dyDescent="0.25">
      <c r="A683" s="15" t="s">
        <v>108</v>
      </c>
      <c r="B683" s="15" t="s">
        <v>27</v>
      </c>
      <c r="C683" s="15">
        <v>2012</v>
      </c>
      <c r="D683" s="16">
        <f>'COCA COLA CO'!F72</f>
        <v>0</v>
      </c>
    </row>
    <row r="684" spans="1:4" x14ac:dyDescent="0.25">
      <c r="A684" s="15" t="s">
        <v>108</v>
      </c>
      <c r="B684" s="15" t="s">
        <v>74</v>
      </c>
      <c r="C684" s="15">
        <v>2012</v>
      </c>
      <c r="D684" s="16">
        <f>'COCA COLA CO'!F73</f>
        <v>259</v>
      </c>
    </row>
    <row r="685" spans="1:4" x14ac:dyDescent="0.25">
      <c r="A685" s="15" t="s">
        <v>108</v>
      </c>
      <c r="B685" s="15" t="s">
        <v>61</v>
      </c>
      <c r="C685" s="15">
        <v>2012</v>
      </c>
      <c r="D685" s="16">
        <f>'COCA COLA CO'!F74</f>
        <v>632</v>
      </c>
    </row>
    <row r="686" spans="1:4" x14ac:dyDescent="0.25">
      <c r="A686" s="15" t="s">
        <v>108</v>
      </c>
      <c r="B686" s="15" t="s">
        <v>75</v>
      </c>
      <c r="C686" s="15">
        <v>2012</v>
      </c>
      <c r="D686" s="16">
        <f>'COCA COLA CO'!F75</f>
        <v>-426</v>
      </c>
    </row>
    <row r="687" spans="1:4" x14ac:dyDescent="0.25">
      <c r="A687" s="15" t="s">
        <v>108</v>
      </c>
      <c r="B687" s="15" t="s">
        <v>76</v>
      </c>
      <c r="C687" s="15">
        <v>2012</v>
      </c>
      <c r="D687" s="16">
        <f>'COCA COLA CO'!F76</f>
        <v>-130</v>
      </c>
    </row>
    <row r="688" spans="1:4" x14ac:dyDescent="0.25">
      <c r="A688" s="15" t="s">
        <v>108</v>
      </c>
      <c r="B688" s="15" t="s">
        <v>77</v>
      </c>
      <c r="C688" s="15">
        <v>2012</v>
      </c>
      <c r="D688" s="16">
        <f>'COCA COLA CO'!F77</f>
        <v>-98</v>
      </c>
    </row>
    <row r="689" spans="1:4" x14ac:dyDescent="0.25">
      <c r="A689" s="15" t="s">
        <v>108</v>
      </c>
      <c r="B689" s="15" t="s">
        <v>78</v>
      </c>
      <c r="C689" s="15">
        <v>2012</v>
      </c>
      <c r="D689" s="16">
        <f>'COCA COLA CO'!F78</f>
        <v>0</v>
      </c>
    </row>
    <row r="690" spans="1:4" x14ac:dyDescent="0.25">
      <c r="A690" s="15" t="s">
        <v>108</v>
      </c>
      <c r="B690" s="15" t="s">
        <v>17</v>
      </c>
      <c r="C690" s="15">
        <v>2012</v>
      </c>
      <c r="D690" s="16">
        <f>'COCA COLA CO'!F79</f>
        <v>166</v>
      </c>
    </row>
    <row r="691" spans="1:4" x14ac:dyDescent="0.25">
      <c r="A691" s="15" t="s">
        <v>108</v>
      </c>
      <c r="B691" s="15" t="s">
        <v>79</v>
      </c>
      <c r="C691" s="15">
        <v>2012</v>
      </c>
      <c r="D691" s="16">
        <f>'COCA COLA CO'!F80</f>
        <v>254</v>
      </c>
    </row>
    <row r="692" spans="1:4" x14ac:dyDescent="0.25">
      <c r="A692" s="15" t="s">
        <v>108</v>
      </c>
      <c r="B692" s="15" t="s">
        <v>80</v>
      </c>
      <c r="C692" s="15">
        <v>2012</v>
      </c>
      <c r="D692" s="16">
        <f>'COCA COLA CO'!F81</f>
        <v>-1080</v>
      </c>
    </row>
    <row r="693" spans="1:4" x14ac:dyDescent="0.25">
      <c r="A693" s="15" t="s">
        <v>108</v>
      </c>
      <c r="B693" s="15" t="s">
        <v>81</v>
      </c>
      <c r="C693" s="15">
        <v>2012</v>
      </c>
      <c r="D693" s="16">
        <f>'COCA COLA CO'!F82</f>
        <v>10645</v>
      </c>
    </row>
    <row r="694" spans="1:4" x14ac:dyDescent="0.25">
      <c r="A694" s="15" t="s">
        <v>108</v>
      </c>
      <c r="B694" s="15" t="s">
        <v>82</v>
      </c>
      <c r="C694" s="15">
        <v>2012</v>
      </c>
      <c r="D694" s="16">
        <f>'COCA COLA CO'!F83</f>
        <v>0</v>
      </c>
    </row>
    <row r="695" spans="1:4" x14ac:dyDescent="0.25">
      <c r="A695" s="15" t="s">
        <v>108</v>
      </c>
      <c r="B695" s="15" t="s">
        <v>83</v>
      </c>
      <c r="C695" s="15">
        <v>2012</v>
      </c>
      <c r="D695" s="16">
        <f>'COCA COLA CO'!F84</f>
        <v>-14824</v>
      </c>
    </row>
    <row r="696" spans="1:4" x14ac:dyDescent="0.25">
      <c r="A696" s="15" t="s">
        <v>108</v>
      </c>
      <c r="B696" s="15" t="s">
        <v>84</v>
      </c>
      <c r="C696" s="15">
        <v>2012</v>
      </c>
      <c r="D696" s="16">
        <f>'COCA COLA CO'!F85</f>
        <v>7791</v>
      </c>
    </row>
    <row r="697" spans="1:4" x14ac:dyDescent="0.25">
      <c r="A697" s="15" t="s">
        <v>108</v>
      </c>
      <c r="B697" s="15" t="s">
        <v>85</v>
      </c>
      <c r="C697" s="15">
        <v>2012</v>
      </c>
      <c r="D697" s="16">
        <f>'COCA COLA CO'!F86</f>
        <v>-1486</v>
      </c>
    </row>
    <row r="698" spans="1:4" x14ac:dyDescent="0.25">
      <c r="A698" s="15" t="s">
        <v>108</v>
      </c>
      <c r="B698" s="15" t="s">
        <v>86</v>
      </c>
      <c r="C698" s="15">
        <v>2012</v>
      </c>
      <c r="D698" s="16">
        <f>'COCA COLA CO'!F87</f>
        <v>20</v>
      </c>
    </row>
    <row r="699" spans="1:4" x14ac:dyDescent="0.25">
      <c r="A699" s="15" t="s">
        <v>108</v>
      </c>
      <c r="B699" s="15" t="s">
        <v>87</v>
      </c>
      <c r="C699" s="15">
        <v>2012</v>
      </c>
      <c r="D699" s="16">
        <f>'COCA COLA CO'!F88</f>
        <v>-2780</v>
      </c>
    </row>
    <row r="700" spans="1:4" x14ac:dyDescent="0.25">
      <c r="A700" s="15" t="s">
        <v>108</v>
      </c>
      <c r="B700" s="15" t="s">
        <v>88</v>
      </c>
      <c r="C700" s="15">
        <v>2012</v>
      </c>
      <c r="D700" s="16">
        <f>'COCA COLA CO'!F89</f>
        <v>143</v>
      </c>
    </row>
    <row r="701" spans="1:4" x14ac:dyDescent="0.25">
      <c r="A701" s="15" t="s">
        <v>108</v>
      </c>
      <c r="B701" s="15" t="s">
        <v>89</v>
      </c>
      <c r="C701" s="15">
        <v>2012</v>
      </c>
      <c r="D701" s="16">
        <f>'COCA COLA CO'!F90</f>
        <v>-268</v>
      </c>
    </row>
    <row r="702" spans="1:4" x14ac:dyDescent="0.25">
      <c r="A702" s="15" t="s">
        <v>108</v>
      </c>
      <c r="B702" s="15" t="s">
        <v>90</v>
      </c>
      <c r="C702" s="15">
        <v>2012</v>
      </c>
      <c r="D702" s="16">
        <f>'COCA COLA CO'!F91</f>
        <v>-11404</v>
      </c>
    </row>
    <row r="703" spans="1:4" x14ac:dyDescent="0.25">
      <c r="A703" s="15" t="s">
        <v>108</v>
      </c>
      <c r="B703" s="15" t="s">
        <v>91</v>
      </c>
      <c r="C703" s="15">
        <v>2012</v>
      </c>
      <c r="D703" s="16">
        <f>'COCA COLA CO'!F92</f>
        <v>42791</v>
      </c>
    </row>
    <row r="704" spans="1:4" x14ac:dyDescent="0.25">
      <c r="A704" s="15" t="s">
        <v>108</v>
      </c>
      <c r="B704" s="15" t="s">
        <v>92</v>
      </c>
      <c r="C704" s="15">
        <v>2012</v>
      </c>
      <c r="D704" s="16">
        <f>'COCA COLA CO'!F93</f>
        <v>-38573</v>
      </c>
    </row>
    <row r="705" spans="1:4" x14ac:dyDescent="0.25">
      <c r="A705" s="15" t="s">
        <v>108</v>
      </c>
      <c r="B705" s="15" t="s">
        <v>93</v>
      </c>
      <c r="C705" s="15">
        <v>2012</v>
      </c>
      <c r="D705" s="16">
        <f>'COCA COLA CO'!F94</f>
        <v>1489</v>
      </c>
    </row>
    <row r="706" spans="1:4" x14ac:dyDescent="0.25">
      <c r="A706" s="15" t="s">
        <v>108</v>
      </c>
      <c r="B706" s="15" t="s">
        <v>94</v>
      </c>
      <c r="C706" s="15">
        <v>2012</v>
      </c>
      <c r="D706" s="16">
        <f>'COCA COLA CO'!F95</f>
        <v>-4559</v>
      </c>
    </row>
    <row r="707" spans="1:4" x14ac:dyDescent="0.25">
      <c r="A707" s="15" t="s">
        <v>108</v>
      </c>
      <c r="B707" s="15" t="s">
        <v>95</v>
      </c>
      <c r="C707" s="15">
        <v>2012</v>
      </c>
      <c r="D707" s="16">
        <f>'COCA COLA CO'!F96</f>
        <v>-4595</v>
      </c>
    </row>
    <row r="708" spans="1:4" x14ac:dyDescent="0.25">
      <c r="A708" s="15" t="s">
        <v>108</v>
      </c>
      <c r="B708" s="15" t="s">
        <v>96</v>
      </c>
      <c r="C708" s="15">
        <v>2012</v>
      </c>
      <c r="D708" s="16">
        <f>'COCA COLA CO'!F97</f>
        <v>100</v>
      </c>
    </row>
    <row r="709" spans="1:4" x14ac:dyDescent="0.25">
      <c r="A709" s="15" t="s">
        <v>108</v>
      </c>
      <c r="B709" s="15" t="s">
        <v>97</v>
      </c>
      <c r="C709" s="15">
        <v>2012</v>
      </c>
      <c r="D709" s="16">
        <f>'COCA COLA CO'!F98</f>
        <v>-3347</v>
      </c>
    </row>
    <row r="710" spans="1:4" x14ac:dyDescent="0.25">
      <c r="A710" s="15" t="s">
        <v>108</v>
      </c>
      <c r="B710" s="15" t="s">
        <v>98</v>
      </c>
      <c r="C710" s="15">
        <v>2012</v>
      </c>
      <c r="D710" s="16">
        <f>'COCA COLA CO'!F99</f>
        <v>0</v>
      </c>
    </row>
    <row r="711" spans="1:4" x14ac:dyDescent="0.25">
      <c r="A711" s="15" t="s">
        <v>108</v>
      </c>
      <c r="B711" s="15" t="s">
        <v>99</v>
      </c>
      <c r="C711" s="15">
        <v>2012</v>
      </c>
      <c r="D711" s="16">
        <f>'COCA COLA CO'!F100</f>
        <v>-255</v>
      </c>
    </row>
    <row r="712" spans="1:4" x14ac:dyDescent="0.25">
      <c r="A712" s="15" t="s">
        <v>108</v>
      </c>
      <c r="B712" s="15" t="s">
        <v>100</v>
      </c>
      <c r="C712" s="15">
        <v>2012</v>
      </c>
      <c r="D712" s="16">
        <f>'COCA COLA CO'!F101</f>
        <v>0</v>
      </c>
    </row>
    <row r="713" spans="1:4" x14ac:dyDescent="0.25">
      <c r="A713" s="15" t="s">
        <v>108</v>
      </c>
      <c r="B713" s="15" t="s">
        <v>101</v>
      </c>
      <c r="C713" s="15">
        <v>2012</v>
      </c>
      <c r="D713" s="16">
        <f>'COCA COLA CO'!F102</f>
        <v>0</v>
      </c>
    </row>
    <row r="714" spans="1:4" x14ac:dyDescent="0.25">
      <c r="A714" s="15" t="s">
        <v>108</v>
      </c>
      <c r="B714" s="15" t="s">
        <v>102</v>
      </c>
      <c r="C714" s="15">
        <v>2012</v>
      </c>
      <c r="D714" s="16">
        <f>'COCA COLA CO'!F103</f>
        <v>0</v>
      </c>
    </row>
    <row r="715" spans="1:4" x14ac:dyDescent="0.25">
      <c r="A715" s="15" t="s">
        <v>108</v>
      </c>
      <c r="B715" s="15" t="s">
        <v>103</v>
      </c>
      <c r="C715" s="15">
        <v>2012</v>
      </c>
      <c r="D715" s="16">
        <f>'COCA COLA CO'!F104</f>
        <v>-4361</v>
      </c>
    </row>
    <row r="716" spans="1:4" x14ac:dyDescent="0.25">
      <c r="A716" s="15" t="s">
        <v>108</v>
      </c>
      <c r="B716" s="15" t="s">
        <v>25</v>
      </c>
      <c r="C716" s="15">
        <v>2013</v>
      </c>
      <c r="D716" s="16">
        <f>'COCA COLA CO'!G69</f>
        <v>8626</v>
      </c>
    </row>
    <row r="717" spans="1:4" x14ac:dyDescent="0.25">
      <c r="A717" s="15" t="s">
        <v>108</v>
      </c>
      <c r="B717" s="15" t="s">
        <v>72</v>
      </c>
      <c r="C717" s="15">
        <v>2013</v>
      </c>
      <c r="D717" s="16">
        <f>'COCA COLA CO'!G70</f>
        <v>1977</v>
      </c>
    </row>
    <row r="718" spans="1:4" x14ac:dyDescent="0.25">
      <c r="A718" s="15" t="s">
        <v>108</v>
      </c>
      <c r="B718" s="15" t="s">
        <v>73</v>
      </c>
      <c r="C718" s="15">
        <v>2013</v>
      </c>
      <c r="D718" s="16">
        <f>'COCA COLA CO'!G71</f>
        <v>0</v>
      </c>
    </row>
    <row r="719" spans="1:4" x14ac:dyDescent="0.25">
      <c r="A719" s="15" t="s">
        <v>108</v>
      </c>
      <c r="B719" s="15" t="s">
        <v>27</v>
      </c>
      <c r="C719" s="15">
        <v>2013</v>
      </c>
      <c r="D719" s="16">
        <f>'COCA COLA CO'!G72</f>
        <v>0</v>
      </c>
    </row>
    <row r="720" spans="1:4" x14ac:dyDescent="0.25">
      <c r="A720" s="15" t="s">
        <v>108</v>
      </c>
      <c r="B720" s="15" t="s">
        <v>74</v>
      </c>
      <c r="C720" s="15">
        <v>2013</v>
      </c>
      <c r="D720" s="16">
        <f>'COCA COLA CO'!G73</f>
        <v>227</v>
      </c>
    </row>
    <row r="721" spans="1:4" x14ac:dyDescent="0.25">
      <c r="A721" s="15" t="s">
        <v>108</v>
      </c>
      <c r="B721" s="15" t="s">
        <v>61</v>
      </c>
      <c r="C721" s="15">
        <v>2013</v>
      </c>
      <c r="D721" s="16">
        <f>'COCA COLA CO'!G74</f>
        <v>648</v>
      </c>
    </row>
    <row r="722" spans="1:4" x14ac:dyDescent="0.25">
      <c r="A722" s="15" t="s">
        <v>108</v>
      </c>
      <c r="B722" s="15" t="s">
        <v>75</v>
      </c>
      <c r="C722" s="15">
        <v>2013</v>
      </c>
      <c r="D722" s="16">
        <f>'COCA COLA CO'!G75</f>
        <v>-201</v>
      </c>
    </row>
    <row r="723" spans="1:4" x14ac:dyDescent="0.25">
      <c r="A723" s="15" t="s">
        <v>108</v>
      </c>
      <c r="B723" s="15" t="s">
        <v>76</v>
      </c>
      <c r="C723" s="15">
        <v>2013</v>
      </c>
      <c r="D723" s="16">
        <f>'COCA COLA CO'!G76</f>
        <v>168</v>
      </c>
    </row>
    <row r="724" spans="1:4" x14ac:dyDescent="0.25">
      <c r="A724" s="15" t="s">
        <v>108</v>
      </c>
      <c r="B724" s="15" t="s">
        <v>77</v>
      </c>
      <c r="C724" s="15">
        <v>2013</v>
      </c>
      <c r="D724" s="16">
        <f>'COCA COLA CO'!G77</f>
        <v>-670</v>
      </c>
    </row>
    <row r="725" spans="1:4" x14ac:dyDescent="0.25">
      <c r="A725" s="15" t="s">
        <v>108</v>
      </c>
      <c r="B725" s="15" t="s">
        <v>78</v>
      </c>
      <c r="C725" s="15">
        <v>2013</v>
      </c>
      <c r="D725" s="16">
        <f>'COCA COLA CO'!G78</f>
        <v>0</v>
      </c>
    </row>
    <row r="726" spans="1:4" x14ac:dyDescent="0.25">
      <c r="A726" s="15" t="s">
        <v>108</v>
      </c>
      <c r="B726" s="15" t="s">
        <v>17</v>
      </c>
      <c r="C726" s="15">
        <v>2013</v>
      </c>
      <c r="D726" s="16">
        <f>'COCA COLA CO'!G79</f>
        <v>465</v>
      </c>
    </row>
    <row r="727" spans="1:4" x14ac:dyDescent="0.25">
      <c r="A727" s="15" t="s">
        <v>108</v>
      </c>
      <c r="B727" s="15" t="s">
        <v>79</v>
      </c>
      <c r="C727" s="15">
        <v>2013</v>
      </c>
      <c r="D727" s="16">
        <f>'COCA COLA CO'!G80</f>
        <v>234</v>
      </c>
    </row>
    <row r="728" spans="1:4" x14ac:dyDescent="0.25">
      <c r="A728" s="15" t="s">
        <v>108</v>
      </c>
      <c r="B728" s="15" t="s">
        <v>80</v>
      </c>
      <c r="C728" s="15">
        <v>2013</v>
      </c>
      <c r="D728" s="16">
        <f>'COCA COLA CO'!G81</f>
        <v>-932</v>
      </c>
    </row>
    <row r="729" spans="1:4" x14ac:dyDescent="0.25">
      <c r="A729" s="15" t="s">
        <v>108</v>
      </c>
      <c r="B729" s="15" t="s">
        <v>81</v>
      </c>
      <c r="C729" s="15">
        <v>2013</v>
      </c>
      <c r="D729" s="16">
        <f>'COCA COLA CO'!G82</f>
        <v>10542</v>
      </c>
    </row>
    <row r="730" spans="1:4" x14ac:dyDescent="0.25">
      <c r="A730" s="15" t="s">
        <v>108</v>
      </c>
      <c r="B730" s="15" t="s">
        <v>82</v>
      </c>
      <c r="C730" s="15">
        <v>2013</v>
      </c>
      <c r="D730" s="16">
        <f>'COCA COLA CO'!G83</f>
        <v>0</v>
      </c>
    </row>
    <row r="731" spans="1:4" x14ac:dyDescent="0.25">
      <c r="A731" s="15" t="s">
        <v>108</v>
      </c>
      <c r="B731" s="15" t="s">
        <v>83</v>
      </c>
      <c r="C731" s="15">
        <v>2013</v>
      </c>
      <c r="D731" s="16">
        <f>'COCA COLA CO'!G84</f>
        <v>-14782</v>
      </c>
    </row>
    <row r="732" spans="1:4" x14ac:dyDescent="0.25">
      <c r="A732" s="15" t="s">
        <v>108</v>
      </c>
      <c r="B732" s="15" t="s">
        <v>84</v>
      </c>
      <c r="C732" s="15">
        <v>2013</v>
      </c>
      <c r="D732" s="16">
        <f>'COCA COLA CO'!G85</f>
        <v>12791</v>
      </c>
    </row>
    <row r="733" spans="1:4" x14ac:dyDescent="0.25">
      <c r="A733" s="15" t="s">
        <v>108</v>
      </c>
      <c r="B733" s="15" t="s">
        <v>85</v>
      </c>
      <c r="C733" s="15">
        <v>2013</v>
      </c>
      <c r="D733" s="16">
        <f>'COCA COLA CO'!G86</f>
        <v>-353</v>
      </c>
    </row>
    <row r="734" spans="1:4" x14ac:dyDescent="0.25">
      <c r="A734" s="15" t="s">
        <v>108</v>
      </c>
      <c r="B734" s="15" t="s">
        <v>86</v>
      </c>
      <c r="C734" s="15">
        <v>2013</v>
      </c>
      <c r="D734" s="16">
        <f>'COCA COLA CO'!G87</f>
        <v>872</v>
      </c>
    </row>
    <row r="735" spans="1:4" x14ac:dyDescent="0.25">
      <c r="A735" s="15" t="s">
        <v>108</v>
      </c>
      <c r="B735" s="15" t="s">
        <v>87</v>
      </c>
      <c r="C735" s="15">
        <v>2013</v>
      </c>
      <c r="D735" s="16">
        <f>'COCA COLA CO'!G88</f>
        <v>-2550</v>
      </c>
    </row>
    <row r="736" spans="1:4" x14ac:dyDescent="0.25">
      <c r="A736" s="15" t="s">
        <v>108</v>
      </c>
      <c r="B736" s="15" t="s">
        <v>88</v>
      </c>
      <c r="C736" s="15">
        <v>2013</v>
      </c>
      <c r="D736" s="16">
        <f>'COCA COLA CO'!G89</f>
        <v>111</v>
      </c>
    </row>
    <row r="737" spans="1:4" x14ac:dyDescent="0.25">
      <c r="A737" s="15" t="s">
        <v>108</v>
      </c>
      <c r="B737" s="15" t="s">
        <v>89</v>
      </c>
      <c r="C737" s="15">
        <v>2013</v>
      </c>
      <c r="D737" s="16">
        <f>'COCA COLA CO'!G90</f>
        <v>-303</v>
      </c>
    </row>
    <row r="738" spans="1:4" x14ac:dyDescent="0.25">
      <c r="A738" s="15" t="s">
        <v>108</v>
      </c>
      <c r="B738" s="15" t="s">
        <v>90</v>
      </c>
      <c r="C738" s="15">
        <v>2013</v>
      </c>
      <c r="D738" s="16">
        <f>'COCA COLA CO'!G91</f>
        <v>-4214</v>
      </c>
    </row>
    <row r="739" spans="1:4" x14ac:dyDescent="0.25">
      <c r="A739" s="15" t="s">
        <v>108</v>
      </c>
      <c r="B739" s="15" t="s">
        <v>91</v>
      </c>
      <c r="C739" s="15">
        <v>2013</v>
      </c>
      <c r="D739" s="16">
        <f>'COCA COLA CO'!G92</f>
        <v>43425</v>
      </c>
    </row>
    <row r="740" spans="1:4" x14ac:dyDescent="0.25">
      <c r="A740" s="15" t="s">
        <v>108</v>
      </c>
      <c r="B740" s="15" t="s">
        <v>92</v>
      </c>
      <c r="C740" s="15">
        <v>2013</v>
      </c>
      <c r="D740" s="16">
        <f>'COCA COLA CO'!G93</f>
        <v>-38714</v>
      </c>
    </row>
    <row r="741" spans="1:4" x14ac:dyDescent="0.25">
      <c r="A741" s="15" t="s">
        <v>108</v>
      </c>
      <c r="B741" s="15" t="s">
        <v>93</v>
      </c>
      <c r="C741" s="15">
        <v>2013</v>
      </c>
      <c r="D741" s="16">
        <f>'COCA COLA CO'!G94</f>
        <v>1328</v>
      </c>
    </row>
    <row r="742" spans="1:4" x14ac:dyDescent="0.25">
      <c r="A742" s="15" t="s">
        <v>108</v>
      </c>
      <c r="B742" s="15" t="s">
        <v>94</v>
      </c>
      <c r="C742" s="15">
        <v>2013</v>
      </c>
      <c r="D742" s="16">
        <f>'COCA COLA CO'!G95</f>
        <v>-4832</v>
      </c>
    </row>
    <row r="743" spans="1:4" x14ac:dyDescent="0.25">
      <c r="A743" s="15" t="s">
        <v>108</v>
      </c>
      <c r="B743" s="15" t="s">
        <v>95</v>
      </c>
      <c r="C743" s="15">
        <v>2013</v>
      </c>
      <c r="D743" s="16">
        <f>'COCA COLA CO'!G96</f>
        <v>-4969</v>
      </c>
    </row>
    <row r="744" spans="1:4" x14ac:dyDescent="0.25">
      <c r="A744" s="15" t="s">
        <v>108</v>
      </c>
      <c r="B744" s="15" t="s">
        <v>96</v>
      </c>
      <c r="C744" s="15">
        <v>2013</v>
      </c>
      <c r="D744" s="16">
        <f>'COCA COLA CO'!G97</f>
        <v>17</v>
      </c>
    </row>
    <row r="745" spans="1:4" x14ac:dyDescent="0.25">
      <c r="A745" s="15" t="s">
        <v>108</v>
      </c>
      <c r="B745" s="15" t="s">
        <v>97</v>
      </c>
      <c r="C745" s="15">
        <v>2013</v>
      </c>
      <c r="D745" s="16">
        <f>'COCA COLA CO'!G98</f>
        <v>-3745</v>
      </c>
    </row>
    <row r="746" spans="1:4" x14ac:dyDescent="0.25">
      <c r="A746" s="15" t="s">
        <v>108</v>
      </c>
      <c r="B746" s="15" t="s">
        <v>98</v>
      </c>
      <c r="C746" s="15">
        <v>2013</v>
      </c>
      <c r="D746" s="16">
        <f>'COCA COLA CO'!G99</f>
        <v>0</v>
      </c>
    </row>
    <row r="747" spans="1:4" x14ac:dyDescent="0.25">
      <c r="A747" s="15" t="s">
        <v>108</v>
      </c>
      <c r="B747" s="15" t="s">
        <v>99</v>
      </c>
      <c r="C747" s="15">
        <v>2013</v>
      </c>
      <c r="D747" s="16">
        <f>'COCA COLA CO'!G100</f>
        <v>-611</v>
      </c>
    </row>
    <row r="748" spans="1:4" x14ac:dyDescent="0.25">
      <c r="A748" s="15" t="s">
        <v>108</v>
      </c>
      <c r="B748" s="15" t="s">
        <v>100</v>
      </c>
      <c r="C748" s="15">
        <v>2013</v>
      </c>
      <c r="D748" s="16">
        <f>'COCA COLA CO'!G101</f>
        <v>0</v>
      </c>
    </row>
    <row r="749" spans="1:4" x14ac:dyDescent="0.25">
      <c r="A749" s="15" t="s">
        <v>108</v>
      </c>
      <c r="B749" s="15" t="s">
        <v>101</v>
      </c>
      <c r="C749" s="15">
        <v>2013</v>
      </c>
      <c r="D749" s="16">
        <f>'COCA COLA CO'!G102</f>
        <v>0</v>
      </c>
    </row>
    <row r="750" spans="1:4" x14ac:dyDescent="0.25">
      <c r="A750" s="15" t="s">
        <v>108</v>
      </c>
      <c r="B750" s="15" t="s">
        <v>102</v>
      </c>
      <c r="C750" s="15">
        <v>2013</v>
      </c>
      <c r="D750" s="16">
        <f>'COCA COLA CO'!G103</f>
        <v>0</v>
      </c>
    </row>
    <row r="751" spans="1:4" x14ac:dyDescent="0.25">
      <c r="A751" s="15" t="s">
        <v>108</v>
      </c>
      <c r="B751" s="15" t="s">
        <v>103</v>
      </c>
      <c r="C751" s="15">
        <v>2013</v>
      </c>
      <c r="D751" s="16">
        <f>'COCA COLA CO'!G104</f>
        <v>1972</v>
      </c>
    </row>
    <row r="752" spans="1:4" x14ac:dyDescent="0.25">
      <c r="A752" s="15" t="s">
        <v>108</v>
      </c>
      <c r="B752" s="15" t="s">
        <v>25</v>
      </c>
      <c r="C752" s="15">
        <v>2014</v>
      </c>
      <c r="D752" s="16">
        <f>'COCA COLA CO'!H69</f>
        <v>7124</v>
      </c>
    </row>
    <row r="753" spans="1:4" x14ac:dyDescent="0.25">
      <c r="A753" s="15" t="s">
        <v>108</v>
      </c>
      <c r="B753" s="15" t="s">
        <v>72</v>
      </c>
      <c r="C753" s="15">
        <v>2014</v>
      </c>
      <c r="D753" s="16">
        <f>'COCA COLA CO'!H70</f>
        <v>1976</v>
      </c>
    </row>
    <row r="754" spans="1:4" x14ac:dyDescent="0.25">
      <c r="A754" s="15" t="s">
        <v>108</v>
      </c>
      <c r="B754" s="15" t="s">
        <v>73</v>
      </c>
      <c r="C754" s="15">
        <v>2014</v>
      </c>
      <c r="D754" s="16">
        <f>'COCA COLA CO'!H71</f>
        <v>0</v>
      </c>
    </row>
    <row r="755" spans="1:4" x14ac:dyDescent="0.25">
      <c r="A755" s="15" t="s">
        <v>108</v>
      </c>
      <c r="B755" s="15" t="s">
        <v>27</v>
      </c>
      <c r="C755" s="15">
        <v>2014</v>
      </c>
      <c r="D755" s="16">
        <f>'COCA COLA CO'!H72</f>
        <v>0</v>
      </c>
    </row>
    <row r="756" spans="1:4" x14ac:dyDescent="0.25">
      <c r="A756" s="15" t="s">
        <v>108</v>
      </c>
      <c r="B756" s="15" t="s">
        <v>74</v>
      </c>
      <c r="C756" s="15">
        <v>2014</v>
      </c>
      <c r="D756" s="16">
        <f>'COCA COLA CO'!H73</f>
        <v>209</v>
      </c>
    </row>
    <row r="757" spans="1:4" x14ac:dyDescent="0.25">
      <c r="A757" s="15" t="s">
        <v>108</v>
      </c>
      <c r="B757" s="15" t="s">
        <v>61</v>
      </c>
      <c r="C757" s="15">
        <v>2014</v>
      </c>
      <c r="D757" s="16">
        <f>'COCA COLA CO'!H74</f>
        <v>-40</v>
      </c>
    </row>
    <row r="758" spans="1:4" x14ac:dyDescent="0.25">
      <c r="A758" s="15" t="s">
        <v>108</v>
      </c>
      <c r="B758" s="15" t="s">
        <v>75</v>
      </c>
      <c r="C758" s="15">
        <v>2014</v>
      </c>
      <c r="D758" s="16">
        <f>'COCA COLA CO'!H75</f>
        <v>-371</v>
      </c>
    </row>
    <row r="759" spans="1:4" x14ac:dyDescent="0.25">
      <c r="A759" s="15" t="s">
        <v>108</v>
      </c>
      <c r="B759" s="15" t="s">
        <v>76</v>
      </c>
      <c r="C759" s="15">
        <v>2014</v>
      </c>
      <c r="D759" s="16">
        <f>'COCA COLA CO'!H76</f>
        <v>415</v>
      </c>
    </row>
    <row r="760" spans="1:4" x14ac:dyDescent="0.25">
      <c r="A760" s="15" t="s">
        <v>108</v>
      </c>
      <c r="B760" s="15" t="s">
        <v>77</v>
      </c>
      <c r="C760" s="15">
        <v>2014</v>
      </c>
      <c r="D760" s="16">
        <f>'COCA COLA CO'!H77</f>
        <v>831</v>
      </c>
    </row>
    <row r="761" spans="1:4" x14ac:dyDescent="0.25">
      <c r="A761" s="15" t="s">
        <v>108</v>
      </c>
      <c r="B761" s="15" t="s">
        <v>78</v>
      </c>
      <c r="C761" s="15">
        <v>2014</v>
      </c>
      <c r="D761" s="16">
        <f>'COCA COLA CO'!H78</f>
        <v>0</v>
      </c>
    </row>
    <row r="762" spans="1:4" x14ac:dyDescent="0.25">
      <c r="A762" s="15" t="s">
        <v>108</v>
      </c>
      <c r="B762" s="15" t="s">
        <v>17</v>
      </c>
      <c r="C762" s="15">
        <v>2014</v>
      </c>
      <c r="D762" s="16">
        <f>'COCA COLA CO'!H79</f>
        <v>761</v>
      </c>
    </row>
    <row r="763" spans="1:4" x14ac:dyDescent="0.25">
      <c r="A763" s="15" t="s">
        <v>108</v>
      </c>
      <c r="B763" s="15" t="s">
        <v>79</v>
      </c>
      <c r="C763" s="15">
        <v>2014</v>
      </c>
      <c r="D763" s="16">
        <f>'COCA COLA CO'!H80</f>
        <v>149</v>
      </c>
    </row>
    <row r="764" spans="1:4" x14ac:dyDescent="0.25">
      <c r="A764" s="15" t="s">
        <v>108</v>
      </c>
      <c r="B764" s="15" t="s">
        <v>80</v>
      </c>
      <c r="C764" s="15">
        <v>2014</v>
      </c>
      <c r="D764" s="16">
        <f>'COCA COLA CO'!H81</f>
        <v>-439</v>
      </c>
    </row>
    <row r="765" spans="1:4" x14ac:dyDescent="0.25">
      <c r="A765" s="15" t="s">
        <v>108</v>
      </c>
      <c r="B765" s="15" t="s">
        <v>81</v>
      </c>
      <c r="C765" s="15">
        <v>2014</v>
      </c>
      <c r="D765" s="16">
        <f>'COCA COLA CO'!H82</f>
        <v>10615</v>
      </c>
    </row>
    <row r="766" spans="1:4" x14ac:dyDescent="0.25">
      <c r="A766" s="15" t="s">
        <v>108</v>
      </c>
      <c r="B766" s="15" t="s">
        <v>82</v>
      </c>
      <c r="C766" s="15">
        <v>2014</v>
      </c>
      <c r="D766" s="16">
        <f>'COCA COLA CO'!H83</f>
        <v>0</v>
      </c>
    </row>
    <row r="767" spans="1:4" x14ac:dyDescent="0.25">
      <c r="A767" s="15" t="s">
        <v>108</v>
      </c>
      <c r="B767" s="15" t="s">
        <v>83</v>
      </c>
      <c r="C767" s="15">
        <v>2014</v>
      </c>
      <c r="D767" s="16">
        <f>'COCA COLA CO'!H84</f>
        <v>-17800</v>
      </c>
    </row>
    <row r="768" spans="1:4" x14ac:dyDescent="0.25">
      <c r="A768" s="15" t="s">
        <v>108</v>
      </c>
      <c r="B768" s="15" t="s">
        <v>84</v>
      </c>
      <c r="C768" s="15">
        <v>2014</v>
      </c>
      <c r="D768" s="16">
        <f>'COCA COLA CO'!H85</f>
        <v>12986</v>
      </c>
    </row>
    <row r="769" spans="1:4" x14ac:dyDescent="0.25">
      <c r="A769" s="15" t="s">
        <v>108</v>
      </c>
      <c r="B769" s="15" t="s">
        <v>85</v>
      </c>
      <c r="C769" s="15">
        <v>2014</v>
      </c>
      <c r="D769" s="16">
        <f>'COCA COLA CO'!H86</f>
        <v>-389</v>
      </c>
    </row>
    <row r="770" spans="1:4" x14ac:dyDescent="0.25">
      <c r="A770" s="15" t="s">
        <v>108</v>
      </c>
      <c r="B770" s="15" t="s">
        <v>86</v>
      </c>
      <c r="C770" s="15">
        <v>2014</v>
      </c>
      <c r="D770" s="16">
        <f>'COCA COLA CO'!H87</f>
        <v>148</v>
      </c>
    </row>
    <row r="771" spans="1:4" x14ac:dyDescent="0.25">
      <c r="A771" s="15" t="s">
        <v>108</v>
      </c>
      <c r="B771" s="15" t="s">
        <v>87</v>
      </c>
      <c r="C771" s="15">
        <v>2014</v>
      </c>
      <c r="D771" s="16">
        <f>'COCA COLA CO'!H88</f>
        <v>-2406</v>
      </c>
    </row>
    <row r="772" spans="1:4" x14ac:dyDescent="0.25">
      <c r="A772" s="15" t="s">
        <v>108</v>
      </c>
      <c r="B772" s="15" t="s">
        <v>88</v>
      </c>
      <c r="C772" s="15">
        <v>2014</v>
      </c>
      <c r="D772" s="16">
        <f>'COCA COLA CO'!H89</f>
        <v>223</v>
      </c>
    </row>
    <row r="773" spans="1:4" x14ac:dyDescent="0.25">
      <c r="A773" s="15" t="s">
        <v>108</v>
      </c>
      <c r="B773" s="15" t="s">
        <v>89</v>
      </c>
      <c r="C773" s="15">
        <v>2014</v>
      </c>
      <c r="D773" s="16">
        <f>'COCA COLA CO'!H90</f>
        <v>-268</v>
      </c>
    </row>
    <row r="774" spans="1:4" x14ac:dyDescent="0.25">
      <c r="A774" s="15" t="s">
        <v>108</v>
      </c>
      <c r="B774" s="15" t="s">
        <v>90</v>
      </c>
      <c r="C774" s="15">
        <v>2014</v>
      </c>
      <c r="D774" s="16">
        <f>'COCA COLA CO'!H91</f>
        <v>-7506</v>
      </c>
    </row>
    <row r="775" spans="1:4" x14ac:dyDescent="0.25">
      <c r="A775" s="15" t="s">
        <v>108</v>
      </c>
      <c r="B775" s="15" t="s">
        <v>91</v>
      </c>
      <c r="C775" s="15">
        <v>2014</v>
      </c>
      <c r="D775" s="16">
        <f>'COCA COLA CO'!H92</f>
        <v>41674</v>
      </c>
    </row>
    <row r="776" spans="1:4" x14ac:dyDescent="0.25">
      <c r="A776" s="15" t="s">
        <v>108</v>
      </c>
      <c r="B776" s="15" t="s">
        <v>92</v>
      </c>
      <c r="C776" s="15">
        <v>2014</v>
      </c>
      <c r="D776" s="16">
        <f>'COCA COLA CO'!H93</f>
        <v>-36962</v>
      </c>
    </row>
    <row r="777" spans="1:4" x14ac:dyDescent="0.25">
      <c r="A777" s="15" t="s">
        <v>108</v>
      </c>
      <c r="B777" s="15" t="s">
        <v>93</v>
      </c>
      <c r="C777" s="15">
        <v>2014</v>
      </c>
      <c r="D777" s="16">
        <f>'COCA COLA CO'!H94</f>
        <v>1532</v>
      </c>
    </row>
    <row r="778" spans="1:4" x14ac:dyDescent="0.25">
      <c r="A778" s="15" t="s">
        <v>108</v>
      </c>
      <c r="B778" s="15" t="s">
        <v>94</v>
      </c>
      <c r="C778" s="15">
        <v>2014</v>
      </c>
      <c r="D778" s="16">
        <f>'COCA COLA CO'!H95</f>
        <v>-4162</v>
      </c>
    </row>
    <row r="779" spans="1:4" x14ac:dyDescent="0.25">
      <c r="A779" s="15" t="s">
        <v>108</v>
      </c>
      <c r="B779" s="15" t="s">
        <v>95</v>
      </c>
      <c r="C779" s="15">
        <v>2014</v>
      </c>
      <c r="D779" s="16">
        <f>'COCA COLA CO'!H96</f>
        <v>-5350</v>
      </c>
    </row>
    <row r="780" spans="1:4" x14ac:dyDescent="0.25">
      <c r="A780" s="15" t="s">
        <v>108</v>
      </c>
      <c r="B780" s="15" t="s">
        <v>96</v>
      </c>
      <c r="C780" s="15">
        <v>2014</v>
      </c>
      <c r="D780" s="16">
        <f>'COCA COLA CO'!H97</f>
        <v>-363</v>
      </c>
    </row>
    <row r="781" spans="1:4" x14ac:dyDescent="0.25">
      <c r="A781" s="15" t="s">
        <v>108</v>
      </c>
      <c r="B781" s="15" t="s">
        <v>97</v>
      </c>
      <c r="C781" s="15">
        <v>2014</v>
      </c>
      <c r="D781" s="16">
        <f>'COCA COLA CO'!H98</f>
        <v>-3631</v>
      </c>
    </row>
    <row r="782" spans="1:4" x14ac:dyDescent="0.25">
      <c r="A782" s="15" t="s">
        <v>108</v>
      </c>
      <c r="B782" s="15" t="s">
        <v>98</v>
      </c>
      <c r="C782" s="15">
        <v>2014</v>
      </c>
      <c r="D782" s="16">
        <f>'COCA COLA CO'!H99</f>
        <v>0</v>
      </c>
    </row>
    <row r="783" spans="1:4" x14ac:dyDescent="0.25">
      <c r="A783" s="15" t="s">
        <v>108</v>
      </c>
      <c r="B783" s="15" t="s">
        <v>99</v>
      </c>
      <c r="C783" s="15">
        <v>2014</v>
      </c>
      <c r="D783" s="16">
        <f>'COCA COLA CO'!H100</f>
        <v>-934</v>
      </c>
    </row>
    <row r="784" spans="1:4" x14ac:dyDescent="0.25">
      <c r="A784" s="15" t="s">
        <v>108</v>
      </c>
      <c r="B784" s="15" t="s">
        <v>100</v>
      </c>
      <c r="C784" s="15">
        <v>2014</v>
      </c>
      <c r="D784" s="16">
        <f>'COCA COLA CO'!H101</f>
        <v>0</v>
      </c>
    </row>
    <row r="785" spans="1:4" x14ac:dyDescent="0.25">
      <c r="A785" s="15" t="s">
        <v>108</v>
      </c>
      <c r="B785" s="15" t="s">
        <v>101</v>
      </c>
      <c r="C785" s="15">
        <v>2014</v>
      </c>
      <c r="D785" s="16">
        <f>'COCA COLA CO'!H102</f>
        <v>0</v>
      </c>
    </row>
    <row r="786" spans="1:4" x14ac:dyDescent="0.25">
      <c r="A786" s="15" t="s">
        <v>108</v>
      </c>
      <c r="B786" s="15" t="s">
        <v>102</v>
      </c>
      <c r="C786" s="15">
        <v>2014</v>
      </c>
      <c r="D786" s="16">
        <f>'COCA COLA CO'!H103</f>
        <v>0</v>
      </c>
    </row>
    <row r="787" spans="1:4" x14ac:dyDescent="0.25">
      <c r="A787" s="15" t="s">
        <v>108</v>
      </c>
      <c r="B787" s="15" t="s">
        <v>103</v>
      </c>
      <c r="C787" s="15">
        <v>2014</v>
      </c>
      <c r="D787" s="16">
        <f>'COCA COLA CO'!H104</f>
        <v>-1456</v>
      </c>
    </row>
    <row r="788" spans="1:4" x14ac:dyDescent="0.25">
      <c r="A788" s="15" t="s">
        <v>108</v>
      </c>
      <c r="B788" s="15" t="s">
        <v>25</v>
      </c>
      <c r="C788" s="15">
        <v>2015</v>
      </c>
      <c r="D788" s="16">
        <f>'COCA COLA CO'!I69</f>
        <v>7366</v>
      </c>
    </row>
    <row r="789" spans="1:4" x14ac:dyDescent="0.25">
      <c r="A789" s="15" t="s">
        <v>108</v>
      </c>
      <c r="B789" s="15" t="s">
        <v>72</v>
      </c>
      <c r="C789" s="15">
        <v>2015</v>
      </c>
      <c r="D789" s="16">
        <f>'COCA COLA CO'!I70</f>
        <v>1970</v>
      </c>
    </row>
    <row r="790" spans="1:4" x14ac:dyDescent="0.25">
      <c r="A790" s="15" t="s">
        <v>108</v>
      </c>
      <c r="B790" s="15" t="s">
        <v>73</v>
      </c>
      <c r="C790" s="15">
        <v>2015</v>
      </c>
      <c r="D790" s="16">
        <f>'COCA COLA CO'!I71</f>
        <v>0</v>
      </c>
    </row>
    <row r="791" spans="1:4" x14ac:dyDescent="0.25">
      <c r="A791" s="15" t="s">
        <v>108</v>
      </c>
      <c r="B791" s="15" t="s">
        <v>27</v>
      </c>
      <c r="C791" s="15">
        <v>2015</v>
      </c>
      <c r="D791" s="16">
        <f>'COCA COLA CO'!I72</f>
        <v>7366</v>
      </c>
    </row>
    <row r="792" spans="1:4" x14ac:dyDescent="0.25">
      <c r="A792" s="15" t="s">
        <v>108</v>
      </c>
      <c r="B792" s="15" t="s">
        <v>74</v>
      </c>
      <c r="C792" s="15">
        <v>2015</v>
      </c>
      <c r="D792" s="16">
        <f>'COCA COLA CO'!I73</f>
        <v>236</v>
      </c>
    </row>
    <row r="793" spans="1:4" x14ac:dyDescent="0.25">
      <c r="A793" s="15" t="s">
        <v>108</v>
      </c>
      <c r="B793" s="15" t="s">
        <v>61</v>
      </c>
      <c r="C793" s="15">
        <v>2015</v>
      </c>
      <c r="D793" s="16">
        <f>'COCA COLA CO'!I74</f>
        <v>73</v>
      </c>
    </row>
    <row r="794" spans="1:4" x14ac:dyDescent="0.25">
      <c r="A794" s="15" t="s">
        <v>108</v>
      </c>
      <c r="B794" s="15" t="s">
        <v>75</v>
      </c>
      <c r="C794" s="15">
        <v>2015</v>
      </c>
      <c r="D794" s="16">
        <f>'COCA COLA CO'!I75</f>
        <v>-122</v>
      </c>
    </row>
    <row r="795" spans="1:4" x14ac:dyDescent="0.25">
      <c r="A795" s="15" t="s">
        <v>108</v>
      </c>
      <c r="B795" s="15" t="s">
        <v>76</v>
      </c>
      <c r="C795" s="15">
        <v>2015</v>
      </c>
      <c r="D795" s="16">
        <f>'COCA COLA CO'!I76</f>
        <v>-137</v>
      </c>
    </row>
    <row r="796" spans="1:4" x14ac:dyDescent="0.25">
      <c r="A796" s="15" t="s">
        <v>108</v>
      </c>
      <c r="B796" s="15" t="s">
        <v>77</v>
      </c>
      <c r="C796" s="15">
        <v>2015</v>
      </c>
      <c r="D796" s="16">
        <f>'COCA COLA CO'!I77</f>
        <v>-374</v>
      </c>
    </row>
    <row r="797" spans="1:4" x14ac:dyDescent="0.25">
      <c r="A797" s="15" t="s">
        <v>108</v>
      </c>
      <c r="B797" s="15" t="s">
        <v>78</v>
      </c>
      <c r="C797" s="15">
        <v>2015</v>
      </c>
      <c r="D797" s="16">
        <f>'COCA COLA CO'!I78</f>
        <v>0</v>
      </c>
    </row>
    <row r="798" spans="1:4" x14ac:dyDescent="0.25">
      <c r="A798" s="15" t="s">
        <v>108</v>
      </c>
      <c r="B798" s="15" t="s">
        <v>17</v>
      </c>
      <c r="C798" s="15">
        <v>2015</v>
      </c>
      <c r="D798" s="16">
        <f>'COCA COLA CO'!I79</f>
        <v>929</v>
      </c>
    </row>
    <row r="799" spans="1:4" x14ac:dyDescent="0.25">
      <c r="A799" s="15" t="s">
        <v>108</v>
      </c>
      <c r="B799" s="15" t="s">
        <v>79</v>
      </c>
      <c r="C799" s="15">
        <v>2015</v>
      </c>
      <c r="D799" s="16">
        <f>'COCA COLA CO'!I80</f>
        <v>744</v>
      </c>
    </row>
    <row r="800" spans="1:4" x14ac:dyDescent="0.25">
      <c r="A800" s="15" t="s">
        <v>108</v>
      </c>
      <c r="B800" s="15" t="s">
        <v>80</v>
      </c>
      <c r="C800" s="15">
        <v>2015</v>
      </c>
      <c r="D800" s="16">
        <f>'COCA COLA CO'!I81</f>
        <v>-157</v>
      </c>
    </row>
    <row r="801" spans="1:4" x14ac:dyDescent="0.25">
      <c r="A801" s="15" t="s">
        <v>108</v>
      </c>
      <c r="B801" s="15" t="s">
        <v>81</v>
      </c>
      <c r="C801" s="15">
        <v>2015</v>
      </c>
      <c r="D801" s="16">
        <f>'COCA COLA CO'!I82</f>
        <v>10528</v>
      </c>
    </row>
    <row r="802" spans="1:4" x14ac:dyDescent="0.25">
      <c r="A802" s="15" t="s">
        <v>108</v>
      </c>
      <c r="B802" s="15" t="s">
        <v>82</v>
      </c>
      <c r="C802" s="15">
        <v>2015</v>
      </c>
      <c r="D802" s="16">
        <f>'COCA COLA CO'!I83</f>
        <v>0</v>
      </c>
    </row>
    <row r="803" spans="1:4" x14ac:dyDescent="0.25">
      <c r="A803" s="15" t="s">
        <v>108</v>
      </c>
      <c r="B803" s="15" t="s">
        <v>83</v>
      </c>
      <c r="C803" s="15">
        <v>2015</v>
      </c>
      <c r="D803" s="16">
        <f>'COCA COLA CO'!I84</f>
        <v>-15831</v>
      </c>
    </row>
    <row r="804" spans="1:4" x14ac:dyDescent="0.25">
      <c r="A804" s="15" t="s">
        <v>108</v>
      </c>
      <c r="B804" s="15" t="s">
        <v>84</v>
      </c>
      <c r="C804" s="15">
        <v>2015</v>
      </c>
      <c r="D804" s="16">
        <f>'COCA COLA CO'!I85</f>
        <v>14079</v>
      </c>
    </row>
    <row r="805" spans="1:4" x14ac:dyDescent="0.25">
      <c r="A805" s="15" t="s">
        <v>108</v>
      </c>
      <c r="B805" s="15" t="s">
        <v>85</v>
      </c>
      <c r="C805" s="15">
        <v>2015</v>
      </c>
      <c r="D805" s="16">
        <f>'COCA COLA CO'!I86</f>
        <v>-2491</v>
      </c>
    </row>
    <row r="806" spans="1:4" x14ac:dyDescent="0.25">
      <c r="A806" s="15" t="s">
        <v>108</v>
      </c>
      <c r="B806" s="15" t="s">
        <v>86</v>
      </c>
      <c r="C806" s="15">
        <v>2015</v>
      </c>
      <c r="D806" s="16">
        <f>'COCA COLA CO'!I87</f>
        <v>565</v>
      </c>
    </row>
    <row r="807" spans="1:4" x14ac:dyDescent="0.25">
      <c r="A807" s="15" t="s">
        <v>108</v>
      </c>
      <c r="B807" s="15" t="s">
        <v>87</v>
      </c>
      <c r="C807" s="15">
        <v>2015</v>
      </c>
      <c r="D807" s="16">
        <f>'COCA COLA CO'!I88</f>
        <v>-2553</v>
      </c>
    </row>
    <row r="808" spans="1:4" x14ac:dyDescent="0.25">
      <c r="A808" s="15" t="s">
        <v>108</v>
      </c>
      <c r="B808" s="15" t="s">
        <v>88</v>
      </c>
      <c r="C808" s="15">
        <v>2015</v>
      </c>
      <c r="D808" s="16">
        <f>'COCA COLA CO'!I89</f>
        <v>85</v>
      </c>
    </row>
    <row r="809" spans="1:4" x14ac:dyDescent="0.25">
      <c r="A809" s="15" t="s">
        <v>108</v>
      </c>
      <c r="B809" s="15" t="s">
        <v>89</v>
      </c>
      <c r="C809" s="15">
        <v>2015</v>
      </c>
      <c r="D809" s="16">
        <f>'COCA COLA CO'!I90</f>
        <v>-40</v>
      </c>
    </row>
    <row r="810" spans="1:4" x14ac:dyDescent="0.25">
      <c r="A810" s="15" t="s">
        <v>108</v>
      </c>
      <c r="B810" s="15" t="s">
        <v>90</v>
      </c>
      <c r="C810" s="15">
        <v>2015</v>
      </c>
      <c r="D810" s="16">
        <f>'COCA COLA CO'!I91</f>
        <v>-6186</v>
      </c>
    </row>
    <row r="811" spans="1:4" x14ac:dyDescent="0.25">
      <c r="A811" s="15" t="s">
        <v>108</v>
      </c>
      <c r="B811" s="15" t="s">
        <v>91</v>
      </c>
      <c r="C811" s="15">
        <v>2015</v>
      </c>
      <c r="D811" s="16">
        <f>'COCA COLA CO'!I92</f>
        <v>40434</v>
      </c>
    </row>
    <row r="812" spans="1:4" x14ac:dyDescent="0.25">
      <c r="A812" s="15" t="s">
        <v>108</v>
      </c>
      <c r="B812" s="15" t="s">
        <v>92</v>
      </c>
      <c r="C812" s="15">
        <v>2015</v>
      </c>
      <c r="D812" s="16">
        <f>'COCA COLA CO'!I93</f>
        <v>-37738</v>
      </c>
    </row>
    <row r="813" spans="1:4" x14ac:dyDescent="0.25">
      <c r="A813" s="15" t="s">
        <v>108</v>
      </c>
      <c r="B813" s="15" t="s">
        <v>93</v>
      </c>
      <c r="C813" s="15">
        <v>2015</v>
      </c>
      <c r="D813" s="16">
        <f>'COCA COLA CO'!I94</f>
        <v>1245</v>
      </c>
    </row>
    <row r="814" spans="1:4" x14ac:dyDescent="0.25">
      <c r="A814" s="15" t="s">
        <v>108</v>
      </c>
      <c r="B814" s="15" t="s">
        <v>94</v>
      </c>
      <c r="C814" s="15">
        <v>2015</v>
      </c>
      <c r="D814" s="16">
        <f>'COCA COLA CO'!I95</f>
        <v>-3564</v>
      </c>
    </row>
    <row r="815" spans="1:4" x14ac:dyDescent="0.25">
      <c r="A815" s="15" t="s">
        <v>108</v>
      </c>
      <c r="B815" s="15" t="s">
        <v>95</v>
      </c>
      <c r="C815" s="15">
        <v>2015</v>
      </c>
      <c r="D815" s="16">
        <f>'COCA COLA CO'!I96</f>
        <v>-5741</v>
      </c>
    </row>
    <row r="816" spans="1:4" x14ac:dyDescent="0.25">
      <c r="A816" s="15" t="s">
        <v>108</v>
      </c>
      <c r="B816" s="15" t="s">
        <v>96</v>
      </c>
      <c r="C816" s="15">
        <v>2015</v>
      </c>
      <c r="D816" s="16">
        <f>'COCA COLA CO'!I97</f>
        <v>251</v>
      </c>
    </row>
    <row r="817" spans="1:4" x14ac:dyDescent="0.25">
      <c r="A817" s="15" t="s">
        <v>108</v>
      </c>
      <c r="B817" s="15" t="s">
        <v>97</v>
      </c>
      <c r="C817" s="15">
        <v>2015</v>
      </c>
      <c r="D817" s="16">
        <f>'COCA COLA CO'!I98</f>
        <v>-5113</v>
      </c>
    </row>
    <row r="818" spans="1:4" x14ac:dyDescent="0.25">
      <c r="A818" s="15" t="s">
        <v>108</v>
      </c>
      <c r="B818" s="15" t="s">
        <v>98</v>
      </c>
      <c r="C818" s="15">
        <v>2015</v>
      </c>
      <c r="D818" s="16">
        <f>'COCA COLA CO'!I99</f>
        <v>0</v>
      </c>
    </row>
    <row r="819" spans="1:4" x14ac:dyDescent="0.25">
      <c r="A819" s="15" t="s">
        <v>108</v>
      </c>
      <c r="B819" s="15" t="s">
        <v>99</v>
      </c>
      <c r="C819" s="15">
        <v>2015</v>
      </c>
      <c r="D819" s="16">
        <f>'COCA COLA CO'!I100</f>
        <v>-878</v>
      </c>
    </row>
    <row r="820" spans="1:4" x14ac:dyDescent="0.25">
      <c r="A820" s="15" t="s">
        <v>108</v>
      </c>
      <c r="B820" s="15" t="s">
        <v>100</v>
      </c>
      <c r="C820" s="15">
        <v>2015</v>
      </c>
      <c r="D820" s="16">
        <f>'COCA COLA CO'!I101</f>
        <v>0</v>
      </c>
    </row>
    <row r="821" spans="1:4" x14ac:dyDescent="0.25">
      <c r="A821" s="15" t="s">
        <v>108</v>
      </c>
      <c r="B821" s="15" t="s">
        <v>101</v>
      </c>
      <c r="C821" s="15">
        <v>2015</v>
      </c>
      <c r="D821" s="16">
        <f>'COCA COLA CO'!I102</f>
        <v>0</v>
      </c>
    </row>
    <row r="822" spans="1:4" x14ac:dyDescent="0.25">
      <c r="A822" s="15" t="s">
        <v>108</v>
      </c>
      <c r="B822" s="15" t="s">
        <v>102</v>
      </c>
      <c r="C822" s="15">
        <v>2015</v>
      </c>
      <c r="D822" s="16">
        <f>'COCA COLA CO'!I103</f>
        <v>0</v>
      </c>
    </row>
    <row r="823" spans="1:4" x14ac:dyDescent="0.25">
      <c r="A823" s="15" t="s">
        <v>108</v>
      </c>
      <c r="B823" s="15" t="s">
        <v>103</v>
      </c>
      <c r="C823" s="15">
        <v>2015</v>
      </c>
      <c r="D823" s="16">
        <f>'COCA COLA CO'!I104</f>
        <v>-1649</v>
      </c>
    </row>
    <row r="824" spans="1:4" x14ac:dyDescent="0.25">
      <c r="A824" s="15" t="s">
        <v>108</v>
      </c>
      <c r="B824" s="15" t="s">
        <v>25</v>
      </c>
      <c r="C824" s="15">
        <v>2016</v>
      </c>
      <c r="D824" s="16">
        <f>'COCA COLA CO'!J69</f>
        <v>6550</v>
      </c>
    </row>
    <row r="825" spans="1:4" x14ac:dyDescent="0.25">
      <c r="A825" s="15" t="s">
        <v>108</v>
      </c>
      <c r="B825" s="15" t="s">
        <v>72</v>
      </c>
      <c r="C825" s="15">
        <v>2016</v>
      </c>
      <c r="D825" s="16">
        <f>'COCA COLA CO'!J70</f>
        <v>1787</v>
      </c>
    </row>
    <row r="826" spans="1:4" x14ac:dyDescent="0.25">
      <c r="A826" s="15" t="s">
        <v>108</v>
      </c>
      <c r="B826" s="15" t="s">
        <v>73</v>
      </c>
      <c r="C826" s="15">
        <v>2016</v>
      </c>
      <c r="D826" s="16">
        <f>'COCA COLA CO'!J71</f>
        <v>0</v>
      </c>
    </row>
    <row r="827" spans="1:4" x14ac:dyDescent="0.25">
      <c r="A827" s="15" t="s">
        <v>108</v>
      </c>
      <c r="B827" s="15" t="s">
        <v>27</v>
      </c>
      <c r="C827" s="15">
        <v>2016</v>
      </c>
      <c r="D827" s="16">
        <f>'COCA COLA CO'!J72</f>
        <v>6550</v>
      </c>
    </row>
    <row r="828" spans="1:4" x14ac:dyDescent="0.25">
      <c r="A828" s="15" t="s">
        <v>108</v>
      </c>
      <c r="B828" s="15" t="s">
        <v>74</v>
      </c>
      <c r="C828" s="15">
        <v>2016</v>
      </c>
      <c r="D828" s="16">
        <f>'COCA COLA CO'!J73</f>
        <v>258</v>
      </c>
    </row>
    <row r="829" spans="1:4" x14ac:dyDescent="0.25">
      <c r="A829" s="15" t="s">
        <v>108</v>
      </c>
      <c r="B829" s="15" t="s">
        <v>61</v>
      </c>
      <c r="C829" s="15">
        <v>2016</v>
      </c>
      <c r="D829" s="16">
        <f>'COCA COLA CO'!J74</f>
        <v>-856</v>
      </c>
    </row>
    <row r="830" spans="1:4" x14ac:dyDescent="0.25">
      <c r="A830" s="15" t="s">
        <v>108</v>
      </c>
      <c r="B830" s="15" t="s">
        <v>75</v>
      </c>
      <c r="C830" s="15">
        <v>2016</v>
      </c>
      <c r="D830" s="16">
        <f>'COCA COLA CO'!J75</f>
        <v>-449</v>
      </c>
    </row>
    <row r="831" spans="1:4" x14ac:dyDescent="0.25">
      <c r="A831" s="15" t="s">
        <v>108</v>
      </c>
      <c r="B831" s="15" t="s">
        <v>76</v>
      </c>
      <c r="C831" s="15">
        <v>2016</v>
      </c>
      <c r="D831" s="16">
        <f>'COCA COLA CO'!J76</f>
        <v>158</v>
      </c>
    </row>
    <row r="832" spans="1:4" x14ac:dyDescent="0.25">
      <c r="A832" s="15" t="s">
        <v>108</v>
      </c>
      <c r="B832" s="15" t="s">
        <v>77</v>
      </c>
      <c r="C832" s="15">
        <v>2016</v>
      </c>
      <c r="D832" s="16">
        <f>'COCA COLA CO'!J77</f>
        <v>1146</v>
      </c>
    </row>
    <row r="833" spans="1:4" x14ac:dyDescent="0.25">
      <c r="A833" s="15" t="s">
        <v>108</v>
      </c>
      <c r="B833" s="15" t="s">
        <v>78</v>
      </c>
      <c r="C833" s="15">
        <v>2016</v>
      </c>
      <c r="D833" s="16">
        <f>'COCA COLA CO'!J78</f>
        <v>0</v>
      </c>
    </row>
    <row r="834" spans="1:4" x14ac:dyDescent="0.25">
      <c r="A834" s="15" t="s">
        <v>108</v>
      </c>
      <c r="B834" s="15" t="s">
        <v>17</v>
      </c>
      <c r="C834" s="15">
        <v>2016</v>
      </c>
      <c r="D834" s="16">
        <f>'COCA COLA CO'!J79</f>
        <v>647</v>
      </c>
    </row>
    <row r="835" spans="1:4" x14ac:dyDescent="0.25">
      <c r="A835" s="15" t="s">
        <v>108</v>
      </c>
      <c r="B835" s="15" t="s">
        <v>79</v>
      </c>
      <c r="C835" s="15">
        <v>2016</v>
      </c>
      <c r="D835" s="16">
        <f>'COCA COLA CO'!J80</f>
        <v>-224</v>
      </c>
    </row>
    <row r="836" spans="1:4" x14ac:dyDescent="0.25">
      <c r="A836" s="15" t="s">
        <v>108</v>
      </c>
      <c r="B836" s="15" t="s">
        <v>80</v>
      </c>
      <c r="C836" s="15">
        <v>2016</v>
      </c>
      <c r="D836" s="16">
        <f>'COCA COLA CO'!J81</f>
        <v>-221</v>
      </c>
    </row>
    <row r="837" spans="1:4" x14ac:dyDescent="0.25">
      <c r="A837" s="15" t="s">
        <v>108</v>
      </c>
      <c r="B837" s="15" t="s">
        <v>81</v>
      </c>
      <c r="C837" s="15">
        <v>2016</v>
      </c>
      <c r="D837" s="16">
        <f>'COCA COLA CO'!J82</f>
        <v>8796</v>
      </c>
    </row>
    <row r="838" spans="1:4" x14ac:dyDescent="0.25">
      <c r="A838" s="15" t="s">
        <v>108</v>
      </c>
      <c r="B838" s="15" t="s">
        <v>82</v>
      </c>
      <c r="C838" s="15">
        <v>2016</v>
      </c>
      <c r="D838" s="16">
        <f>'COCA COLA CO'!J83</f>
        <v>0</v>
      </c>
    </row>
    <row r="839" spans="1:4" x14ac:dyDescent="0.25">
      <c r="A839" s="15" t="s">
        <v>108</v>
      </c>
      <c r="B839" s="15" t="s">
        <v>83</v>
      </c>
      <c r="C839" s="15">
        <v>2016</v>
      </c>
      <c r="D839" s="16">
        <f>'COCA COLA CO'!J84</f>
        <v>-15499</v>
      </c>
    </row>
    <row r="840" spans="1:4" x14ac:dyDescent="0.25">
      <c r="A840" s="15" t="s">
        <v>108</v>
      </c>
      <c r="B840" s="15" t="s">
        <v>84</v>
      </c>
      <c r="C840" s="15">
        <v>2016</v>
      </c>
      <c r="D840" s="16">
        <f>'COCA COLA CO'!J85</f>
        <v>16624</v>
      </c>
    </row>
    <row r="841" spans="1:4" x14ac:dyDescent="0.25">
      <c r="A841" s="15" t="s">
        <v>108</v>
      </c>
      <c r="B841" s="15" t="s">
        <v>85</v>
      </c>
      <c r="C841" s="15">
        <v>2016</v>
      </c>
      <c r="D841" s="16">
        <f>'COCA COLA CO'!J86</f>
        <v>-838</v>
      </c>
    </row>
    <row r="842" spans="1:4" x14ac:dyDescent="0.25">
      <c r="A842" s="15" t="s">
        <v>108</v>
      </c>
      <c r="B842" s="15" t="s">
        <v>86</v>
      </c>
      <c r="C842" s="15">
        <v>2016</v>
      </c>
      <c r="D842" s="16">
        <f>'COCA COLA CO'!J87</f>
        <v>1035</v>
      </c>
    </row>
    <row r="843" spans="1:4" x14ac:dyDescent="0.25">
      <c r="A843" s="15" t="s">
        <v>108</v>
      </c>
      <c r="B843" s="15" t="s">
        <v>87</v>
      </c>
      <c r="C843" s="15">
        <v>2016</v>
      </c>
      <c r="D843" s="16">
        <f>'COCA COLA CO'!J88</f>
        <v>-2262</v>
      </c>
    </row>
    <row r="844" spans="1:4" x14ac:dyDescent="0.25">
      <c r="A844" s="15" t="s">
        <v>108</v>
      </c>
      <c r="B844" s="15" t="s">
        <v>88</v>
      </c>
      <c r="C844" s="15">
        <v>2016</v>
      </c>
      <c r="D844" s="16">
        <f>'COCA COLA CO'!J89</f>
        <v>150</v>
      </c>
    </row>
    <row r="845" spans="1:4" x14ac:dyDescent="0.25">
      <c r="A845" s="15" t="s">
        <v>108</v>
      </c>
      <c r="B845" s="15" t="s">
        <v>89</v>
      </c>
      <c r="C845" s="15">
        <v>2016</v>
      </c>
      <c r="D845" s="16">
        <f>'COCA COLA CO'!J90</f>
        <v>-209</v>
      </c>
    </row>
    <row r="846" spans="1:4" x14ac:dyDescent="0.25">
      <c r="A846" s="15" t="s">
        <v>108</v>
      </c>
      <c r="B846" s="15" t="s">
        <v>90</v>
      </c>
      <c r="C846" s="15">
        <v>2016</v>
      </c>
      <c r="D846" s="16">
        <f>'COCA COLA CO'!J91</f>
        <v>-999</v>
      </c>
    </row>
    <row r="847" spans="1:4" x14ac:dyDescent="0.25">
      <c r="A847" s="15" t="s">
        <v>108</v>
      </c>
      <c r="B847" s="15" t="s">
        <v>91</v>
      </c>
      <c r="C847" s="15">
        <v>2016</v>
      </c>
      <c r="D847" s="16">
        <f>'COCA COLA CO'!J92</f>
        <v>27281</v>
      </c>
    </row>
    <row r="848" spans="1:4" x14ac:dyDescent="0.25">
      <c r="A848" s="15" t="s">
        <v>108</v>
      </c>
      <c r="B848" s="15" t="s">
        <v>92</v>
      </c>
      <c r="C848" s="15">
        <v>2016</v>
      </c>
      <c r="D848" s="16">
        <f>'COCA COLA CO'!J93</f>
        <v>-25615</v>
      </c>
    </row>
    <row r="849" spans="1:4" x14ac:dyDescent="0.25">
      <c r="A849" s="15" t="s">
        <v>108</v>
      </c>
      <c r="B849" s="15" t="s">
        <v>93</v>
      </c>
      <c r="C849" s="15">
        <v>2016</v>
      </c>
      <c r="D849" s="16">
        <f>'COCA COLA CO'!J94</f>
        <v>1434</v>
      </c>
    </row>
    <row r="850" spans="1:4" x14ac:dyDescent="0.25">
      <c r="A850" s="15" t="s">
        <v>108</v>
      </c>
      <c r="B850" s="15" t="s">
        <v>94</v>
      </c>
      <c r="C850" s="15">
        <v>2016</v>
      </c>
      <c r="D850" s="16">
        <f>'COCA COLA CO'!J95</f>
        <v>-3681</v>
      </c>
    </row>
    <row r="851" spans="1:4" x14ac:dyDescent="0.25">
      <c r="A851" s="15" t="s">
        <v>108</v>
      </c>
      <c r="B851" s="15" t="s">
        <v>95</v>
      </c>
      <c r="C851" s="15">
        <v>2016</v>
      </c>
      <c r="D851" s="16">
        <f>'COCA COLA CO'!J96</f>
        <v>-6043</v>
      </c>
    </row>
    <row r="852" spans="1:4" x14ac:dyDescent="0.25">
      <c r="A852" s="15" t="s">
        <v>108</v>
      </c>
      <c r="B852" s="15" t="s">
        <v>96</v>
      </c>
      <c r="C852" s="15">
        <v>2016</v>
      </c>
      <c r="D852" s="16">
        <f>'COCA COLA CO'!J97</f>
        <v>79</v>
      </c>
    </row>
    <row r="853" spans="1:4" x14ac:dyDescent="0.25">
      <c r="A853" s="15" t="s">
        <v>108</v>
      </c>
      <c r="B853" s="15" t="s">
        <v>97</v>
      </c>
      <c r="C853" s="15">
        <v>2016</v>
      </c>
      <c r="D853" s="16">
        <f>'COCA COLA CO'!J98</f>
        <v>-6545</v>
      </c>
    </row>
    <row r="854" spans="1:4" x14ac:dyDescent="0.25">
      <c r="A854" s="15" t="s">
        <v>108</v>
      </c>
      <c r="B854" s="15" t="s">
        <v>98</v>
      </c>
      <c r="C854" s="15">
        <v>2016</v>
      </c>
      <c r="D854" s="16">
        <f>'COCA COLA CO'!J99</f>
        <v>0</v>
      </c>
    </row>
    <row r="855" spans="1:4" x14ac:dyDescent="0.25">
      <c r="A855" s="15" t="s">
        <v>108</v>
      </c>
      <c r="B855" s="15" t="s">
        <v>99</v>
      </c>
      <c r="C855" s="15">
        <v>2016</v>
      </c>
      <c r="D855" s="16">
        <f>'COCA COLA CO'!J100</f>
        <v>-6</v>
      </c>
    </row>
    <row r="856" spans="1:4" x14ac:dyDescent="0.25">
      <c r="A856" s="15" t="s">
        <v>108</v>
      </c>
      <c r="B856" s="15" t="s">
        <v>100</v>
      </c>
      <c r="C856" s="15">
        <v>2016</v>
      </c>
      <c r="D856" s="16">
        <f>'COCA COLA CO'!J101</f>
        <v>0</v>
      </c>
    </row>
    <row r="857" spans="1:4" x14ac:dyDescent="0.25">
      <c r="A857" s="15" t="s">
        <v>108</v>
      </c>
      <c r="B857" s="15" t="s">
        <v>101</v>
      </c>
      <c r="C857" s="15">
        <v>2016</v>
      </c>
      <c r="D857" s="16">
        <f>'COCA COLA CO'!J102</f>
        <v>0</v>
      </c>
    </row>
    <row r="858" spans="1:4" x14ac:dyDescent="0.25">
      <c r="A858" s="15" t="s">
        <v>108</v>
      </c>
      <c r="B858" s="15" t="s">
        <v>102</v>
      </c>
      <c r="C858" s="15">
        <v>2016</v>
      </c>
      <c r="D858" s="16">
        <f>'COCA COLA CO'!J103</f>
        <v>0</v>
      </c>
    </row>
    <row r="859" spans="1:4" x14ac:dyDescent="0.25">
      <c r="A859" s="15" t="s">
        <v>108</v>
      </c>
      <c r="B859" s="15" t="s">
        <v>103</v>
      </c>
      <c r="C859" s="15">
        <v>2016</v>
      </c>
      <c r="D859" s="16">
        <f>'COCA COLA CO'!J104</f>
        <v>1246</v>
      </c>
    </row>
    <row r="860" spans="1:4" x14ac:dyDescent="0.25">
      <c r="A860" s="15" t="s">
        <v>108</v>
      </c>
      <c r="B860" s="15" t="s">
        <v>25</v>
      </c>
      <c r="C860" s="15">
        <v>2017</v>
      </c>
      <c r="D860" s="16">
        <f>'COCA COLA CO'!K69</f>
        <v>1283</v>
      </c>
    </row>
    <row r="861" spans="1:4" x14ac:dyDescent="0.25">
      <c r="A861" s="15" t="s">
        <v>108</v>
      </c>
      <c r="B861" s="15" t="s">
        <v>72</v>
      </c>
      <c r="C861" s="15">
        <v>2017</v>
      </c>
      <c r="D861" s="16">
        <f>'COCA COLA CO'!K70</f>
        <v>1260</v>
      </c>
    </row>
    <row r="862" spans="1:4" x14ac:dyDescent="0.25">
      <c r="A862" s="15" t="s">
        <v>108</v>
      </c>
      <c r="B862" s="15" t="s">
        <v>73</v>
      </c>
      <c r="C862" s="15">
        <v>2017</v>
      </c>
      <c r="D862" s="16">
        <f>'COCA COLA CO'!K71</f>
        <v>-101</v>
      </c>
    </row>
    <row r="863" spans="1:4" x14ac:dyDescent="0.25">
      <c r="A863" s="15" t="s">
        <v>108</v>
      </c>
      <c r="B863" s="15" t="s">
        <v>27</v>
      </c>
      <c r="C863" s="15">
        <v>2017</v>
      </c>
      <c r="D863" s="16">
        <f>'COCA COLA CO'!K72</f>
        <v>1182</v>
      </c>
    </row>
    <row r="864" spans="1:4" x14ac:dyDescent="0.25">
      <c r="A864" s="15" t="s">
        <v>108</v>
      </c>
      <c r="B864" s="15" t="s">
        <v>74</v>
      </c>
      <c r="C864" s="15">
        <v>2017</v>
      </c>
      <c r="D864" s="16">
        <f>'COCA COLA CO'!K73</f>
        <v>219</v>
      </c>
    </row>
    <row r="865" spans="1:4" x14ac:dyDescent="0.25">
      <c r="A865" s="15" t="s">
        <v>108</v>
      </c>
      <c r="B865" s="15" t="s">
        <v>61</v>
      </c>
      <c r="C865" s="15">
        <v>2017</v>
      </c>
      <c r="D865" s="16">
        <f>'COCA COLA CO'!K74</f>
        <v>-1256</v>
      </c>
    </row>
    <row r="866" spans="1:4" x14ac:dyDescent="0.25">
      <c r="A866" s="15" t="s">
        <v>108</v>
      </c>
      <c r="B866" s="15" t="s">
        <v>75</v>
      </c>
      <c r="C866" s="15">
        <v>2017</v>
      </c>
      <c r="D866" s="16">
        <f>'COCA COLA CO'!K75</f>
        <v>-628</v>
      </c>
    </row>
    <row r="867" spans="1:4" x14ac:dyDescent="0.25">
      <c r="A867" s="15" t="s">
        <v>108</v>
      </c>
      <c r="B867" s="15" t="s">
        <v>76</v>
      </c>
      <c r="C867" s="15">
        <v>2017</v>
      </c>
      <c r="D867" s="16">
        <f>'COCA COLA CO'!K76</f>
        <v>281</v>
      </c>
    </row>
    <row r="868" spans="1:4" x14ac:dyDescent="0.25">
      <c r="A868" s="15" t="s">
        <v>108</v>
      </c>
      <c r="B868" s="15" t="s">
        <v>77</v>
      </c>
      <c r="C868" s="15">
        <v>2017</v>
      </c>
      <c r="D868" s="16">
        <f>'COCA COLA CO'!K77</f>
        <v>1459</v>
      </c>
    </row>
    <row r="869" spans="1:4" x14ac:dyDescent="0.25">
      <c r="A869" s="15" t="s">
        <v>108</v>
      </c>
      <c r="B869" s="15" t="s">
        <v>78</v>
      </c>
      <c r="C869" s="15">
        <v>2017</v>
      </c>
      <c r="D869" s="16">
        <f>'COCA COLA CO'!K78</f>
        <v>0</v>
      </c>
    </row>
    <row r="870" spans="1:4" x14ac:dyDescent="0.25">
      <c r="A870" s="15" t="s">
        <v>108</v>
      </c>
      <c r="B870" s="15" t="s">
        <v>17</v>
      </c>
      <c r="C870" s="15">
        <v>2017</v>
      </c>
      <c r="D870" s="16">
        <f>'COCA COLA CO'!K79</f>
        <v>1218</v>
      </c>
    </row>
    <row r="871" spans="1:4" x14ac:dyDescent="0.25">
      <c r="A871" s="15" t="s">
        <v>108</v>
      </c>
      <c r="B871" s="15" t="s">
        <v>79</v>
      </c>
      <c r="C871" s="15">
        <v>2017</v>
      </c>
      <c r="D871" s="16">
        <f>'COCA COLA CO'!K80</f>
        <v>-269</v>
      </c>
    </row>
    <row r="872" spans="1:4" x14ac:dyDescent="0.25">
      <c r="A872" s="15" t="s">
        <v>108</v>
      </c>
      <c r="B872" s="15" t="s">
        <v>80</v>
      </c>
      <c r="C872" s="15">
        <v>2017</v>
      </c>
      <c r="D872" s="16">
        <f>'COCA COLA CO'!K81</f>
        <v>3464</v>
      </c>
    </row>
    <row r="873" spans="1:4" x14ac:dyDescent="0.25">
      <c r="A873" s="15" t="s">
        <v>108</v>
      </c>
      <c r="B873" s="15" t="s">
        <v>81</v>
      </c>
      <c r="C873" s="15">
        <v>2017</v>
      </c>
      <c r="D873" s="16">
        <f>'COCA COLA CO'!K82</f>
        <v>6930</v>
      </c>
    </row>
    <row r="874" spans="1:4" x14ac:dyDescent="0.25">
      <c r="A874" s="15" t="s">
        <v>108</v>
      </c>
      <c r="B874" s="15" t="s">
        <v>82</v>
      </c>
      <c r="C874" s="15">
        <v>2017</v>
      </c>
      <c r="D874" s="16">
        <f>'COCA COLA CO'!K83</f>
        <v>0</v>
      </c>
    </row>
    <row r="875" spans="1:4" x14ac:dyDescent="0.25">
      <c r="A875" s="15" t="s">
        <v>108</v>
      </c>
      <c r="B875" s="15" t="s">
        <v>83</v>
      </c>
      <c r="C875" s="15">
        <v>2017</v>
      </c>
      <c r="D875" s="16">
        <f>'COCA COLA CO'!K84</f>
        <v>-17296</v>
      </c>
    </row>
    <row r="876" spans="1:4" x14ac:dyDescent="0.25">
      <c r="A876" s="15" t="s">
        <v>108</v>
      </c>
      <c r="B876" s="15" t="s">
        <v>84</v>
      </c>
      <c r="C876" s="15">
        <v>2017</v>
      </c>
      <c r="D876" s="16">
        <f>'COCA COLA CO'!K85</f>
        <v>16694</v>
      </c>
    </row>
    <row r="877" spans="1:4" x14ac:dyDescent="0.25">
      <c r="A877" s="15" t="s">
        <v>108</v>
      </c>
      <c r="B877" s="15" t="s">
        <v>85</v>
      </c>
      <c r="C877" s="15">
        <v>2017</v>
      </c>
      <c r="D877" s="16">
        <f>'COCA COLA CO'!K86</f>
        <v>-3809</v>
      </c>
    </row>
    <row r="878" spans="1:4" x14ac:dyDescent="0.25">
      <c r="A878" s="15" t="s">
        <v>108</v>
      </c>
      <c r="B878" s="15" t="s">
        <v>86</v>
      </c>
      <c r="C878" s="15">
        <v>2017</v>
      </c>
      <c r="D878" s="16">
        <f>'COCA COLA CO'!K87</f>
        <v>3821</v>
      </c>
    </row>
    <row r="879" spans="1:4" x14ac:dyDescent="0.25">
      <c r="A879" s="15" t="s">
        <v>108</v>
      </c>
      <c r="B879" s="15" t="s">
        <v>87</v>
      </c>
      <c r="C879" s="15">
        <v>2017</v>
      </c>
      <c r="D879" s="16">
        <f>'COCA COLA CO'!K88</f>
        <v>-1675</v>
      </c>
    </row>
    <row r="880" spans="1:4" x14ac:dyDescent="0.25">
      <c r="A880" s="15" t="s">
        <v>108</v>
      </c>
      <c r="B880" s="15" t="s">
        <v>88</v>
      </c>
      <c r="C880" s="15">
        <v>2017</v>
      </c>
      <c r="D880" s="16">
        <f>'COCA COLA CO'!K89</f>
        <v>104</v>
      </c>
    </row>
    <row r="881" spans="1:4" x14ac:dyDescent="0.25">
      <c r="A881" s="15" t="s">
        <v>108</v>
      </c>
      <c r="B881" s="15" t="s">
        <v>89</v>
      </c>
      <c r="C881" s="15">
        <v>2017</v>
      </c>
      <c r="D881" s="16">
        <f>'COCA COLA CO'!K90</f>
        <v>-93</v>
      </c>
    </row>
    <row r="882" spans="1:4" x14ac:dyDescent="0.25">
      <c r="A882" s="15" t="s">
        <v>108</v>
      </c>
      <c r="B882" s="15" t="s">
        <v>90</v>
      </c>
      <c r="C882" s="15">
        <v>2017</v>
      </c>
      <c r="D882" s="16">
        <f>'COCA COLA CO'!K91</f>
        <v>-2254</v>
      </c>
    </row>
    <row r="883" spans="1:4" x14ac:dyDescent="0.25">
      <c r="A883" s="15" t="s">
        <v>108</v>
      </c>
      <c r="B883" s="15" t="s">
        <v>91</v>
      </c>
      <c r="C883" s="15">
        <v>2017</v>
      </c>
      <c r="D883" s="16">
        <f>'COCA COLA CO'!K92</f>
        <v>29857</v>
      </c>
    </row>
    <row r="884" spans="1:4" x14ac:dyDescent="0.25">
      <c r="A884" s="15" t="s">
        <v>108</v>
      </c>
      <c r="B884" s="15" t="s">
        <v>92</v>
      </c>
      <c r="C884" s="15">
        <v>2017</v>
      </c>
      <c r="D884" s="16">
        <f>'COCA COLA CO'!K93</f>
        <v>-28768</v>
      </c>
    </row>
    <row r="885" spans="1:4" x14ac:dyDescent="0.25">
      <c r="A885" s="15" t="s">
        <v>108</v>
      </c>
      <c r="B885" s="15" t="s">
        <v>93</v>
      </c>
      <c r="C885" s="15">
        <v>2017</v>
      </c>
      <c r="D885" s="16">
        <f>'COCA COLA CO'!K94</f>
        <v>1595</v>
      </c>
    </row>
    <row r="886" spans="1:4" x14ac:dyDescent="0.25">
      <c r="A886" s="15" t="s">
        <v>108</v>
      </c>
      <c r="B886" s="15" t="s">
        <v>94</v>
      </c>
      <c r="C886" s="15">
        <v>2017</v>
      </c>
      <c r="D886" s="16">
        <f>'COCA COLA CO'!K95</f>
        <v>-3682</v>
      </c>
    </row>
    <row r="887" spans="1:4" x14ac:dyDescent="0.25">
      <c r="A887" s="15" t="s">
        <v>108</v>
      </c>
      <c r="B887" s="15" t="s">
        <v>95</v>
      </c>
      <c r="C887" s="15">
        <v>2017</v>
      </c>
      <c r="D887" s="16">
        <f>'COCA COLA CO'!K96</f>
        <v>-6320</v>
      </c>
    </row>
    <row r="888" spans="1:4" x14ac:dyDescent="0.25">
      <c r="A888" s="15" t="s">
        <v>108</v>
      </c>
      <c r="B888" s="15" t="s">
        <v>96</v>
      </c>
      <c r="C888" s="15">
        <v>2017</v>
      </c>
      <c r="D888" s="16">
        <f>'COCA COLA CO'!K97</f>
        <v>-91</v>
      </c>
    </row>
    <row r="889" spans="1:4" x14ac:dyDescent="0.25">
      <c r="A889" s="15" t="s">
        <v>108</v>
      </c>
      <c r="B889" s="15" t="s">
        <v>97</v>
      </c>
      <c r="C889" s="15">
        <v>2017</v>
      </c>
      <c r="D889" s="16">
        <f>'COCA COLA CO'!K98</f>
        <v>-7409</v>
      </c>
    </row>
    <row r="890" spans="1:4" x14ac:dyDescent="0.25">
      <c r="A890" s="15" t="s">
        <v>108</v>
      </c>
      <c r="B890" s="15" t="s">
        <v>98</v>
      </c>
      <c r="C890" s="15">
        <v>2017</v>
      </c>
      <c r="D890" s="16">
        <f>'COCA COLA CO'!K99</f>
        <v>111</v>
      </c>
    </row>
    <row r="891" spans="1:4" x14ac:dyDescent="0.25">
      <c r="A891" s="15" t="s">
        <v>108</v>
      </c>
      <c r="B891" s="15" t="s">
        <v>99</v>
      </c>
      <c r="C891" s="15">
        <v>2017</v>
      </c>
      <c r="D891" s="16">
        <f>'COCA COLA CO'!K100</f>
        <v>241</v>
      </c>
    </row>
    <row r="892" spans="1:4" x14ac:dyDescent="0.25">
      <c r="A892" s="15" t="s">
        <v>108</v>
      </c>
      <c r="B892" s="15" t="s">
        <v>100</v>
      </c>
      <c r="C892" s="15">
        <v>2017</v>
      </c>
      <c r="D892" s="16">
        <f>'COCA COLA CO'!K101</f>
        <v>-58</v>
      </c>
    </row>
    <row r="893" spans="1:4" x14ac:dyDescent="0.25">
      <c r="A893" s="15" t="s">
        <v>108</v>
      </c>
      <c r="B893" s="15" t="s">
        <v>101</v>
      </c>
      <c r="C893" s="15">
        <v>2017</v>
      </c>
      <c r="D893" s="16">
        <f>'COCA COLA CO'!K102</f>
        <v>-38</v>
      </c>
    </row>
    <row r="894" spans="1:4" x14ac:dyDescent="0.25">
      <c r="A894" s="15" t="s">
        <v>108</v>
      </c>
      <c r="B894" s="15" t="s">
        <v>102</v>
      </c>
      <c r="C894" s="15">
        <v>2017</v>
      </c>
      <c r="D894" s="16">
        <f>'COCA COLA CO'!K103</f>
        <v>15</v>
      </c>
    </row>
    <row r="895" spans="1:4" x14ac:dyDescent="0.25">
      <c r="A895" s="15" t="s">
        <v>108</v>
      </c>
      <c r="B895" s="15" t="s">
        <v>103</v>
      </c>
      <c r="C895" s="15">
        <v>2017</v>
      </c>
      <c r="D895" s="16">
        <f>'COCA COLA CO'!K104</f>
        <v>-2477</v>
      </c>
    </row>
    <row r="896" spans="1:4" x14ac:dyDescent="0.25">
      <c r="A896" s="15" t="s">
        <v>108</v>
      </c>
      <c r="B896" s="15" t="s">
        <v>25</v>
      </c>
      <c r="C896" s="15">
        <v>2018</v>
      </c>
      <c r="D896" s="16">
        <f>'COCA COLA CO'!L69</f>
        <v>6476</v>
      </c>
    </row>
    <row r="897" spans="1:4" x14ac:dyDescent="0.25">
      <c r="A897" s="15" t="s">
        <v>108</v>
      </c>
      <c r="B897" s="15" t="s">
        <v>72</v>
      </c>
      <c r="C897" s="15">
        <v>2018</v>
      </c>
      <c r="D897" s="16">
        <f>'COCA COLA CO'!L70</f>
        <v>1086</v>
      </c>
    </row>
    <row r="898" spans="1:4" x14ac:dyDescent="0.25">
      <c r="A898" s="15" t="s">
        <v>108</v>
      </c>
      <c r="B898" s="15" t="s">
        <v>73</v>
      </c>
      <c r="C898" s="15">
        <v>2018</v>
      </c>
      <c r="D898" s="16">
        <f>'COCA COLA CO'!L71</f>
        <v>251</v>
      </c>
    </row>
    <row r="899" spans="1:4" x14ac:dyDescent="0.25">
      <c r="A899" s="15" t="s">
        <v>108</v>
      </c>
      <c r="B899" s="15" t="s">
        <v>27</v>
      </c>
      <c r="C899" s="15">
        <v>2018</v>
      </c>
      <c r="D899" s="16">
        <f>'COCA COLA CO'!L72</f>
        <v>6727</v>
      </c>
    </row>
    <row r="900" spans="1:4" x14ac:dyDescent="0.25">
      <c r="A900" s="15" t="s">
        <v>108</v>
      </c>
      <c r="B900" s="15" t="s">
        <v>74</v>
      </c>
      <c r="C900" s="15">
        <v>2018</v>
      </c>
      <c r="D900" s="16">
        <f>'COCA COLA CO'!L73</f>
        <v>225</v>
      </c>
    </row>
    <row r="901" spans="1:4" x14ac:dyDescent="0.25">
      <c r="A901" s="15" t="s">
        <v>108</v>
      </c>
      <c r="B901" s="15" t="s">
        <v>61</v>
      </c>
      <c r="C901" s="15">
        <v>2018</v>
      </c>
      <c r="D901" s="16">
        <f>'COCA COLA CO'!L74</f>
        <v>-450</v>
      </c>
    </row>
    <row r="902" spans="1:4" x14ac:dyDescent="0.25">
      <c r="A902" s="15" t="s">
        <v>108</v>
      </c>
      <c r="B902" s="15" t="s">
        <v>75</v>
      </c>
      <c r="C902" s="15">
        <v>2018</v>
      </c>
      <c r="D902" s="16">
        <f>'COCA COLA CO'!L75</f>
        <v>-457</v>
      </c>
    </row>
    <row r="903" spans="1:4" x14ac:dyDescent="0.25">
      <c r="A903" s="15" t="s">
        <v>108</v>
      </c>
      <c r="B903" s="15" t="s">
        <v>76</v>
      </c>
      <c r="C903" s="15">
        <v>2018</v>
      </c>
      <c r="D903" s="16">
        <f>'COCA COLA CO'!L76</f>
        <v>-38</v>
      </c>
    </row>
    <row r="904" spans="1:4" x14ac:dyDescent="0.25">
      <c r="A904" s="15" t="s">
        <v>108</v>
      </c>
      <c r="B904" s="15" t="s">
        <v>77</v>
      </c>
      <c r="C904" s="15">
        <v>2018</v>
      </c>
      <c r="D904" s="16">
        <f>'COCA COLA CO'!L77</f>
        <v>189</v>
      </c>
    </row>
    <row r="905" spans="1:4" x14ac:dyDescent="0.25">
      <c r="A905" s="15" t="s">
        <v>108</v>
      </c>
      <c r="B905" s="15" t="s">
        <v>78</v>
      </c>
      <c r="C905" s="15">
        <v>2018</v>
      </c>
      <c r="D905" s="16">
        <f>'COCA COLA CO'!L78</f>
        <v>0</v>
      </c>
    </row>
    <row r="906" spans="1:4" x14ac:dyDescent="0.25">
      <c r="A906" s="15" t="s">
        <v>108</v>
      </c>
      <c r="B906" s="15" t="s">
        <v>17</v>
      </c>
      <c r="C906" s="15">
        <v>2018</v>
      </c>
      <c r="D906" s="16">
        <f>'COCA COLA CO'!L79</f>
        <v>558</v>
      </c>
    </row>
    <row r="907" spans="1:4" x14ac:dyDescent="0.25">
      <c r="A907" s="15" t="s">
        <v>108</v>
      </c>
      <c r="B907" s="15" t="s">
        <v>79</v>
      </c>
      <c r="C907" s="15">
        <v>2018</v>
      </c>
      <c r="D907" s="16">
        <f>'COCA COLA CO'!L80</f>
        <v>682</v>
      </c>
    </row>
    <row r="908" spans="1:4" x14ac:dyDescent="0.25">
      <c r="A908" s="15" t="s">
        <v>108</v>
      </c>
      <c r="B908" s="15" t="s">
        <v>80</v>
      </c>
      <c r="C908" s="15">
        <v>2018</v>
      </c>
      <c r="D908" s="16">
        <f>'COCA COLA CO'!L81</f>
        <v>-1202</v>
      </c>
    </row>
    <row r="909" spans="1:4" x14ac:dyDescent="0.25">
      <c r="A909" s="15" t="s">
        <v>108</v>
      </c>
      <c r="B909" s="15" t="s">
        <v>81</v>
      </c>
      <c r="C909" s="15">
        <v>2018</v>
      </c>
      <c r="D909" s="16">
        <f>'COCA COLA CO'!L82</f>
        <v>7320</v>
      </c>
    </row>
    <row r="910" spans="1:4" x14ac:dyDescent="0.25">
      <c r="A910" s="15" t="s">
        <v>108</v>
      </c>
      <c r="B910" s="15" t="s">
        <v>82</v>
      </c>
      <c r="C910" s="15">
        <v>2018</v>
      </c>
      <c r="D910" s="16">
        <f>'COCA COLA CO'!L83</f>
        <v>0</v>
      </c>
    </row>
    <row r="911" spans="1:4" x14ac:dyDescent="0.25">
      <c r="A911" s="15" t="s">
        <v>108</v>
      </c>
      <c r="B911" s="15" t="s">
        <v>83</v>
      </c>
      <c r="C911" s="15">
        <v>2018</v>
      </c>
      <c r="D911" s="16">
        <f>'COCA COLA CO'!L84</f>
        <v>-7789</v>
      </c>
    </row>
    <row r="912" spans="1:4" x14ac:dyDescent="0.25">
      <c r="A912" s="15" t="s">
        <v>108</v>
      </c>
      <c r="B912" s="15" t="s">
        <v>84</v>
      </c>
      <c r="C912" s="15">
        <v>2018</v>
      </c>
      <c r="D912" s="16">
        <f>'COCA COLA CO'!L85</f>
        <v>14977</v>
      </c>
    </row>
    <row r="913" spans="1:4" x14ac:dyDescent="0.25">
      <c r="A913" s="15" t="s">
        <v>108</v>
      </c>
      <c r="B913" s="15" t="s">
        <v>85</v>
      </c>
      <c r="C913" s="15">
        <v>2018</v>
      </c>
      <c r="D913" s="16">
        <f>'COCA COLA CO'!L86</f>
        <v>-1040</v>
      </c>
    </row>
    <row r="914" spans="1:4" x14ac:dyDescent="0.25">
      <c r="A914" s="15" t="s">
        <v>108</v>
      </c>
      <c r="B914" s="15" t="s">
        <v>86</v>
      </c>
      <c r="C914" s="15">
        <v>2018</v>
      </c>
      <c r="D914" s="16">
        <f>'COCA COLA CO'!L87</f>
        <v>1362</v>
      </c>
    </row>
    <row r="915" spans="1:4" x14ac:dyDescent="0.25">
      <c r="A915" s="15" t="s">
        <v>108</v>
      </c>
      <c r="B915" s="15" t="s">
        <v>87</v>
      </c>
      <c r="C915" s="15">
        <v>2018</v>
      </c>
      <c r="D915" s="16">
        <f>'COCA COLA CO'!L88</f>
        <v>-1347</v>
      </c>
    </row>
    <row r="916" spans="1:4" x14ac:dyDescent="0.25">
      <c r="A916" s="15" t="s">
        <v>108</v>
      </c>
      <c r="B916" s="15" t="s">
        <v>88</v>
      </c>
      <c r="C916" s="15">
        <v>2018</v>
      </c>
      <c r="D916" s="16">
        <f>'COCA COLA CO'!L89</f>
        <v>245</v>
      </c>
    </row>
    <row r="917" spans="1:4" x14ac:dyDescent="0.25">
      <c r="A917" s="15" t="s">
        <v>108</v>
      </c>
      <c r="B917" s="15" t="s">
        <v>89</v>
      </c>
      <c r="C917" s="15">
        <v>2018</v>
      </c>
      <c r="D917" s="16">
        <f>'COCA COLA CO'!L90</f>
        <v>-60</v>
      </c>
    </row>
    <row r="918" spans="1:4" x14ac:dyDescent="0.25">
      <c r="A918" s="15" t="s">
        <v>108</v>
      </c>
      <c r="B918" s="15" t="s">
        <v>90</v>
      </c>
      <c r="C918" s="15">
        <v>2018</v>
      </c>
      <c r="D918" s="16">
        <f>'COCA COLA CO'!L91</f>
        <v>6348</v>
      </c>
    </row>
    <row r="919" spans="1:4" x14ac:dyDescent="0.25">
      <c r="A919" s="15" t="s">
        <v>108</v>
      </c>
      <c r="B919" s="15" t="s">
        <v>91</v>
      </c>
      <c r="C919" s="15">
        <v>2018</v>
      </c>
      <c r="D919" s="16">
        <f>'COCA COLA CO'!L92</f>
        <v>27339</v>
      </c>
    </row>
    <row r="920" spans="1:4" x14ac:dyDescent="0.25">
      <c r="A920" s="15" t="s">
        <v>108</v>
      </c>
      <c r="B920" s="15" t="s">
        <v>92</v>
      </c>
      <c r="C920" s="15">
        <v>2018</v>
      </c>
      <c r="D920" s="16">
        <f>'COCA COLA CO'!L93</f>
        <v>-30568</v>
      </c>
    </row>
    <row r="921" spans="1:4" x14ac:dyDescent="0.25">
      <c r="A921" s="15" t="s">
        <v>108</v>
      </c>
      <c r="B921" s="15" t="s">
        <v>93</v>
      </c>
      <c r="C921" s="15">
        <v>2018</v>
      </c>
      <c r="D921" s="16">
        <f>'COCA COLA CO'!L94</f>
        <v>1476</v>
      </c>
    </row>
    <row r="922" spans="1:4" x14ac:dyDescent="0.25">
      <c r="A922" s="15" t="s">
        <v>108</v>
      </c>
      <c r="B922" s="15" t="s">
        <v>94</v>
      </c>
      <c r="C922" s="15">
        <v>2018</v>
      </c>
      <c r="D922" s="16">
        <f>'COCA COLA CO'!L95</f>
        <v>-1912</v>
      </c>
    </row>
    <row r="923" spans="1:4" x14ac:dyDescent="0.25">
      <c r="A923" s="15" t="s">
        <v>108</v>
      </c>
      <c r="B923" s="15" t="s">
        <v>95</v>
      </c>
      <c r="C923" s="15">
        <v>2018</v>
      </c>
      <c r="D923" s="16">
        <f>'COCA COLA CO'!L96</f>
        <v>-6644</v>
      </c>
    </row>
    <row r="924" spans="1:4" x14ac:dyDescent="0.25">
      <c r="A924" s="15" t="s">
        <v>108</v>
      </c>
      <c r="B924" s="15" t="s">
        <v>96</v>
      </c>
      <c r="C924" s="15">
        <v>2018</v>
      </c>
      <c r="D924" s="16">
        <f>'COCA COLA CO'!L97</f>
        <v>-243</v>
      </c>
    </row>
    <row r="925" spans="1:4" x14ac:dyDescent="0.25">
      <c r="A925" s="15" t="s">
        <v>108</v>
      </c>
      <c r="B925" s="15" t="s">
        <v>97</v>
      </c>
      <c r="C925" s="15">
        <v>2018</v>
      </c>
      <c r="D925" s="16">
        <f>'COCA COLA CO'!L98</f>
        <v>-10552</v>
      </c>
    </row>
    <row r="926" spans="1:4" x14ac:dyDescent="0.25">
      <c r="A926" s="15" t="s">
        <v>108</v>
      </c>
      <c r="B926" s="15" t="s">
        <v>98</v>
      </c>
      <c r="C926" s="15">
        <v>2018</v>
      </c>
      <c r="D926" s="16">
        <f>'COCA COLA CO'!L99</f>
        <v>307</v>
      </c>
    </row>
    <row r="927" spans="1:4" x14ac:dyDescent="0.25">
      <c r="A927" s="15" t="s">
        <v>108</v>
      </c>
      <c r="B927" s="15" t="s">
        <v>99</v>
      </c>
      <c r="C927" s="15">
        <v>2018</v>
      </c>
      <c r="D927" s="16">
        <f>'COCA COLA CO'!L100</f>
        <v>-262</v>
      </c>
    </row>
    <row r="928" spans="1:4" x14ac:dyDescent="0.25">
      <c r="A928" s="15" t="s">
        <v>108</v>
      </c>
      <c r="B928" s="15" t="s">
        <v>100</v>
      </c>
      <c r="C928" s="15">
        <v>2018</v>
      </c>
      <c r="D928" s="16">
        <f>'COCA COLA CO'!L101</f>
        <v>-421</v>
      </c>
    </row>
    <row r="929" spans="1:4" x14ac:dyDescent="0.25">
      <c r="A929" s="15" t="s">
        <v>108</v>
      </c>
      <c r="B929" s="15" t="s">
        <v>101</v>
      </c>
      <c r="C929" s="15">
        <v>2018</v>
      </c>
      <c r="D929" s="16">
        <f>'COCA COLA CO'!L102</f>
        <v>205</v>
      </c>
    </row>
    <row r="930" spans="1:4" x14ac:dyDescent="0.25">
      <c r="A930" s="15" t="s">
        <v>108</v>
      </c>
      <c r="B930" s="15" t="s">
        <v>102</v>
      </c>
      <c r="C930" s="15">
        <v>2018</v>
      </c>
      <c r="D930" s="16">
        <f>'COCA COLA CO'!L103</f>
        <v>91</v>
      </c>
    </row>
    <row r="931" spans="1:4" x14ac:dyDescent="0.25">
      <c r="A931" s="15" t="s">
        <v>108</v>
      </c>
      <c r="B931" s="15" t="s">
        <v>103</v>
      </c>
      <c r="C931" s="15">
        <v>2018</v>
      </c>
      <c r="D931" s="16">
        <f>'COCA COLA CO'!L104</f>
        <v>2945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FA8A8-6BF9-474B-99ED-2529D5F68520}">
  <dimension ref="A3:B44"/>
  <sheetViews>
    <sheetView workbookViewId="0">
      <selection activeCell="AD19" sqref="AD19"/>
    </sheetView>
  </sheetViews>
  <sheetFormatPr defaultRowHeight="15" x14ac:dyDescent="0.25"/>
  <cols>
    <col min="1" max="1" width="25.85546875" bestFit="1" customWidth="1"/>
    <col min="2" max="2" width="20.42578125" bestFit="1" customWidth="1"/>
  </cols>
  <sheetData>
    <row r="3" spans="1:2" x14ac:dyDescent="0.25">
      <c r="A3" s="6" t="s">
        <v>110</v>
      </c>
      <c r="B3" s="7" t="s">
        <v>118</v>
      </c>
    </row>
    <row r="4" spans="1:2" x14ac:dyDescent="0.25">
      <c r="A4" s="8">
        <v>2009</v>
      </c>
      <c r="B4" s="7">
        <v>57815</v>
      </c>
    </row>
    <row r="5" spans="1:2" x14ac:dyDescent="0.25">
      <c r="A5" s="11" t="s">
        <v>30</v>
      </c>
      <c r="B5" s="17">
        <v>48671</v>
      </c>
    </row>
    <row r="6" spans="1:2" x14ac:dyDescent="0.25">
      <c r="A6" s="11" t="s">
        <v>108</v>
      </c>
      <c r="B6" s="17">
        <v>2320</v>
      </c>
    </row>
    <row r="7" spans="1:2" x14ac:dyDescent="0.25">
      <c r="A7" s="11" t="s">
        <v>109</v>
      </c>
      <c r="B7" s="17">
        <v>6824</v>
      </c>
    </row>
    <row r="8" spans="1:2" x14ac:dyDescent="0.25">
      <c r="A8" s="9">
        <v>2010</v>
      </c>
      <c r="B8" s="17">
        <v>86204</v>
      </c>
    </row>
    <row r="9" spans="1:2" x14ac:dyDescent="0.25">
      <c r="A9" s="11" t="s">
        <v>30</v>
      </c>
      <c r="B9" s="17">
        <v>72921</v>
      </c>
    </row>
    <row r="10" spans="1:2" x14ac:dyDescent="0.25">
      <c r="A10" s="11" t="s">
        <v>108</v>
      </c>
      <c r="B10" s="17">
        <v>1496</v>
      </c>
    </row>
    <row r="11" spans="1:2" x14ac:dyDescent="0.25">
      <c r="A11" s="11" t="s">
        <v>109</v>
      </c>
      <c r="B11" s="17">
        <v>11787</v>
      </c>
    </row>
    <row r="12" spans="1:2" x14ac:dyDescent="0.25">
      <c r="A12" s="9">
        <v>2011</v>
      </c>
      <c r="B12" s="17">
        <v>92844</v>
      </c>
    </row>
    <row r="13" spans="1:2" x14ac:dyDescent="0.25">
      <c r="A13" s="11" t="s">
        <v>30</v>
      </c>
      <c r="B13" s="17">
        <v>79974</v>
      </c>
    </row>
    <row r="14" spans="1:2" x14ac:dyDescent="0.25">
      <c r="A14" s="11" t="s">
        <v>108</v>
      </c>
      <c r="B14" s="17">
        <v>4286</v>
      </c>
    </row>
    <row r="15" spans="1:2" x14ac:dyDescent="0.25">
      <c r="A15" s="11" t="s">
        <v>109</v>
      </c>
      <c r="B15" s="17">
        <v>8584</v>
      </c>
    </row>
    <row r="16" spans="1:2" x14ac:dyDescent="0.25">
      <c r="A16" s="9">
        <v>2012</v>
      </c>
      <c r="B16" s="17">
        <v>90832</v>
      </c>
    </row>
    <row r="17" spans="1:2" x14ac:dyDescent="0.25">
      <c r="A17" s="11" t="s">
        <v>30</v>
      </c>
      <c r="B17" s="17">
        <v>86174</v>
      </c>
    </row>
    <row r="18" spans="1:2" x14ac:dyDescent="0.25">
      <c r="A18" s="11" t="s">
        <v>108</v>
      </c>
      <c r="B18" s="17">
        <v>-4361</v>
      </c>
    </row>
    <row r="19" spans="1:2" x14ac:dyDescent="0.25">
      <c r="A19" s="11" t="s">
        <v>109</v>
      </c>
      <c r="B19" s="17">
        <v>9019</v>
      </c>
    </row>
    <row r="20" spans="1:2" x14ac:dyDescent="0.25">
      <c r="A20" s="9">
        <v>2013</v>
      </c>
      <c r="B20" s="17">
        <v>100611</v>
      </c>
    </row>
    <row r="21" spans="1:2" x14ac:dyDescent="0.25">
      <c r="A21" s="11" t="s">
        <v>30</v>
      </c>
      <c r="B21" s="17">
        <v>90055</v>
      </c>
    </row>
    <row r="22" spans="1:2" x14ac:dyDescent="0.25">
      <c r="A22" s="11" t="s">
        <v>108</v>
      </c>
      <c r="B22" s="17">
        <v>1972</v>
      </c>
    </row>
    <row r="23" spans="1:2" x14ac:dyDescent="0.25">
      <c r="A23" s="11" t="s">
        <v>109</v>
      </c>
      <c r="B23" s="17">
        <v>8584</v>
      </c>
    </row>
    <row r="24" spans="1:2" x14ac:dyDescent="0.25">
      <c r="A24" s="9">
        <v>2014</v>
      </c>
      <c r="B24" s="17">
        <v>97665</v>
      </c>
    </row>
    <row r="25" spans="1:2" x14ac:dyDescent="0.25">
      <c r="A25" s="11" t="s">
        <v>30</v>
      </c>
      <c r="B25" s="17">
        <v>92023</v>
      </c>
    </row>
    <row r="26" spans="1:2" x14ac:dyDescent="0.25">
      <c r="A26" s="11" t="s">
        <v>108</v>
      </c>
      <c r="B26" s="17">
        <v>-1456</v>
      </c>
    </row>
    <row r="27" spans="1:2" x14ac:dyDescent="0.25">
      <c r="A27" s="11" t="s">
        <v>109</v>
      </c>
      <c r="B27" s="17">
        <v>7098</v>
      </c>
    </row>
    <row r="28" spans="1:2" x14ac:dyDescent="0.25">
      <c r="A28" s="9">
        <v>2015</v>
      </c>
      <c r="B28" s="17">
        <v>95698</v>
      </c>
    </row>
    <row r="29" spans="1:2" x14ac:dyDescent="0.25">
      <c r="A29" s="11" t="s">
        <v>30</v>
      </c>
      <c r="B29" s="17">
        <v>89996</v>
      </c>
    </row>
    <row r="30" spans="1:2" x14ac:dyDescent="0.25">
      <c r="A30" s="11" t="s">
        <v>108</v>
      </c>
      <c r="B30" s="17">
        <v>-1649</v>
      </c>
    </row>
    <row r="31" spans="1:2" x14ac:dyDescent="0.25">
      <c r="A31" s="11" t="s">
        <v>109</v>
      </c>
      <c r="B31" s="17">
        <v>7351</v>
      </c>
    </row>
    <row r="32" spans="1:2" x14ac:dyDescent="0.25">
      <c r="A32" s="9">
        <v>2016</v>
      </c>
      <c r="B32" s="17">
        <v>95043</v>
      </c>
    </row>
    <row r="33" spans="1:2" x14ac:dyDescent="0.25">
      <c r="A33" s="11" t="s">
        <v>30</v>
      </c>
      <c r="B33" s="17">
        <v>87270</v>
      </c>
    </row>
    <row r="34" spans="1:2" x14ac:dyDescent="0.25">
      <c r="A34" s="11" t="s">
        <v>108</v>
      </c>
      <c r="B34" s="17">
        <v>1246</v>
      </c>
    </row>
    <row r="35" spans="1:2" x14ac:dyDescent="0.25">
      <c r="A35" s="11" t="s">
        <v>109</v>
      </c>
      <c r="B35" s="17">
        <v>6527</v>
      </c>
    </row>
    <row r="36" spans="1:2" x14ac:dyDescent="0.25">
      <c r="A36" s="9">
        <v>2017</v>
      </c>
      <c r="B36" s="17">
        <v>86667</v>
      </c>
    </row>
    <row r="37" spans="1:2" x14ac:dyDescent="0.25">
      <c r="A37" s="11" t="s">
        <v>30</v>
      </c>
      <c r="B37" s="17">
        <v>87896</v>
      </c>
    </row>
    <row r="38" spans="1:2" x14ac:dyDescent="0.25">
      <c r="A38" s="11" t="s">
        <v>108</v>
      </c>
      <c r="B38" s="17">
        <v>-2477</v>
      </c>
    </row>
    <row r="39" spans="1:2" x14ac:dyDescent="0.25">
      <c r="A39" s="11" t="s">
        <v>109</v>
      </c>
      <c r="B39" s="17">
        <v>1248</v>
      </c>
    </row>
    <row r="40" spans="1:2" x14ac:dyDescent="0.25">
      <c r="A40" s="9">
        <v>2018</v>
      </c>
      <c r="B40" s="17">
        <v>92595</v>
      </c>
    </row>
    <row r="41" spans="1:2" x14ac:dyDescent="0.25">
      <c r="A41" s="11" t="s">
        <v>30</v>
      </c>
      <c r="B41" s="17">
        <v>83216</v>
      </c>
    </row>
    <row r="42" spans="1:2" x14ac:dyDescent="0.25">
      <c r="A42" s="11" t="s">
        <v>108</v>
      </c>
      <c r="B42" s="17">
        <v>2945</v>
      </c>
    </row>
    <row r="43" spans="1:2" x14ac:dyDescent="0.25">
      <c r="A43" s="11" t="s">
        <v>109</v>
      </c>
      <c r="B43" s="17">
        <v>6434</v>
      </c>
    </row>
    <row r="44" spans="1:2" x14ac:dyDescent="0.25">
      <c r="A44" s="10" t="s">
        <v>111</v>
      </c>
      <c r="B44" s="18">
        <v>895974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98EA5-4FBF-41B6-9AA6-FB5911D341D0}">
  <dimension ref="A3:B12"/>
  <sheetViews>
    <sheetView workbookViewId="0">
      <selection activeCell="A16" sqref="A16"/>
    </sheetView>
  </sheetViews>
  <sheetFormatPr defaultRowHeight="15" x14ac:dyDescent="0.25"/>
  <cols>
    <col min="1" max="1" width="25.85546875" bestFit="1" customWidth="1"/>
    <col min="2" max="2" width="20.42578125" bestFit="1" customWidth="1"/>
  </cols>
  <sheetData>
    <row r="3" spans="1:2" x14ac:dyDescent="0.25">
      <c r="A3" s="6" t="s">
        <v>110</v>
      </c>
      <c r="B3" s="7" t="s">
        <v>118</v>
      </c>
    </row>
    <row r="4" spans="1:2" x14ac:dyDescent="0.25">
      <c r="A4" s="8">
        <v>2012</v>
      </c>
      <c r="B4" s="7">
        <v>-4361</v>
      </c>
    </row>
    <row r="5" spans="1:2" x14ac:dyDescent="0.25">
      <c r="A5" s="11" t="s">
        <v>108</v>
      </c>
      <c r="B5" s="17">
        <v>-4361</v>
      </c>
    </row>
    <row r="6" spans="1:2" x14ac:dyDescent="0.25">
      <c r="A6" s="9">
        <v>2014</v>
      </c>
      <c r="B6" s="17">
        <v>-1456</v>
      </c>
    </row>
    <row r="7" spans="1:2" x14ac:dyDescent="0.25">
      <c r="A7" s="11" t="s">
        <v>108</v>
      </c>
      <c r="B7" s="17">
        <v>-1456</v>
      </c>
    </row>
    <row r="8" spans="1:2" x14ac:dyDescent="0.25">
      <c r="A8" s="9">
        <v>2015</v>
      </c>
      <c r="B8" s="17">
        <v>-1649</v>
      </c>
    </row>
    <row r="9" spans="1:2" x14ac:dyDescent="0.25">
      <c r="A9" s="11" t="s">
        <v>108</v>
      </c>
      <c r="B9" s="17">
        <v>-1649</v>
      </c>
    </row>
    <row r="10" spans="1:2" x14ac:dyDescent="0.25">
      <c r="A10" s="9">
        <v>2017</v>
      </c>
      <c r="B10" s="17">
        <v>-2477</v>
      </c>
    </row>
    <row r="11" spans="1:2" x14ac:dyDescent="0.25">
      <c r="A11" s="11" t="s">
        <v>108</v>
      </c>
      <c r="B11" s="17">
        <v>-2477</v>
      </c>
    </row>
    <row r="12" spans="1:2" x14ac:dyDescent="0.25">
      <c r="A12" s="10" t="s">
        <v>111</v>
      </c>
      <c r="B12" s="18">
        <v>-9943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3AD7E-1793-473C-B3AB-6E05D4AF5984}">
  <dimension ref="A1:D31"/>
  <sheetViews>
    <sheetView workbookViewId="0">
      <selection activeCell="F37" sqref="F37"/>
    </sheetView>
  </sheetViews>
  <sheetFormatPr defaultRowHeight="15" x14ac:dyDescent="0.25"/>
  <cols>
    <col min="1" max="1" width="22.140625" bestFit="1" customWidth="1"/>
    <col min="2" max="2" width="72" bestFit="1" customWidth="1"/>
    <col min="4" max="4" width="15.7109375" customWidth="1"/>
  </cols>
  <sheetData>
    <row r="1" spans="1:4" x14ac:dyDescent="0.25">
      <c r="A1" s="21" t="s">
        <v>104</v>
      </c>
      <c r="B1" s="22" t="s">
        <v>107</v>
      </c>
      <c r="C1" s="22" t="s">
        <v>105</v>
      </c>
      <c r="D1" s="23" t="s">
        <v>117</v>
      </c>
    </row>
    <row r="2" spans="1:4" x14ac:dyDescent="0.25">
      <c r="A2" s="24" t="s">
        <v>109</v>
      </c>
      <c r="B2" s="25" t="s">
        <v>29</v>
      </c>
      <c r="C2" s="28">
        <v>2009</v>
      </c>
      <c r="D2" s="29" cm="1">
        <f t="array" ref="D2">_xlfn.XLOOKUP(B2 &amp;C2,Table3[Metric] &amp;Table3[Year],Table3[Amount],,0)</f>
        <v>6824</v>
      </c>
    </row>
    <row r="3" spans="1:4" x14ac:dyDescent="0.25">
      <c r="A3" s="24" t="s">
        <v>109</v>
      </c>
      <c r="B3" s="25" t="s">
        <v>29</v>
      </c>
      <c r="C3" s="28">
        <v>2010</v>
      </c>
      <c r="D3" s="29" cm="1">
        <f t="array" ref="D3">_xlfn.XLOOKUP(B3 &amp;C3,Table3[Metric] &amp;Table3[Year],Table3[Amount],,0)</f>
        <v>11787</v>
      </c>
    </row>
    <row r="4" spans="1:4" x14ac:dyDescent="0.25">
      <c r="A4" s="24" t="s">
        <v>109</v>
      </c>
      <c r="B4" s="25" t="s">
        <v>29</v>
      </c>
      <c r="C4" s="28">
        <v>2011</v>
      </c>
      <c r="D4" s="29" cm="1">
        <f t="array" ref="D4">_xlfn.XLOOKUP(B4 &amp;C4,Table3[Metric] &amp;Table3[Year],Table3[Amount],,0)</f>
        <v>8584</v>
      </c>
    </row>
    <row r="5" spans="1:4" x14ac:dyDescent="0.25">
      <c r="A5" s="24" t="s">
        <v>109</v>
      </c>
      <c r="B5" s="25" t="s">
        <v>29</v>
      </c>
      <c r="C5" s="28">
        <v>2012</v>
      </c>
      <c r="D5" s="29" cm="1">
        <f t="array" ref="D5">_xlfn.XLOOKUP(B5 &amp;C5,Table3[Metric] &amp;Table3[Year],Table3[Amount],,0)</f>
        <v>9019</v>
      </c>
    </row>
    <row r="6" spans="1:4" x14ac:dyDescent="0.25">
      <c r="A6" s="24" t="s">
        <v>109</v>
      </c>
      <c r="B6" s="25" t="s">
        <v>29</v>
      </c>
      <c r="C6" s="28">
        <v>2013</v>
      </c>
      <c r="D6" s="29" cm="1">
        <f t="array" ref="D6">_xlfn.XLOOKUP(B6 &amp;C6,Table3[Metric] &amp;Table3[Year],Table3[Amount],,0)</f>
        <v>8584</v>
      </c>
    </row>
    <row r="7" spans="1:4" x14ac:dyDescent="0.25">
      <c r="A7" s="24" t="s">
        <v>109</v>
      </c>
      <c r="B7" s="25" t="s">
        <v>29</v>
      </c>
      <c r="C7" s="28">
        <v>2014</v>
      </c>
      <c r="D7" s="29" cm="1">
        <f t="array" ref="D7">_xlfn.XLOOKUP(B7 &amp;C7,Table3[Metric] &amp;Table3[Year],Table3[Amount],,0)</f>
        <v>7098</v>
      </c>
    </row>
    <row r="8" spans="1:4" x14ac:dyDescent="0.25">
      <c r="A8" s="24" t="s">
        <v>109</v>
      </c>
      <c r="B8" s="25" t="s">
        <v>29</v>
      </c>
      <c r="C8" s="28">
        <v>2015</v>
      </c>
      <c r="D8" s="29" cm="1">
        <f t="array" ref="D8">_xlfn.XLOOKUP(B8 &amp;C8,Table3[Metric] &amp;Table3[Year],Table3[Amount],,0)</f>
        <v>7351</v>
      </c>
    </row>
    <row r="9" spans="1:4" x14ac:dyDescent="0.25">
      <c r="A9" s="24" t="s">
        <v>109</v>
      </c>
      <c r="B9" s="25" t="s">
        <v>29</v>
      </c>
      <c r="C9" s="28">
        <v>2016</v>
      </c>
      <c r="D9" s="29" cm="1">
        <f t="array" ref="D9">_xlfn.XLOOKUP(B9 &amp;C9,Table3[Metric] &amp;Table3[Year],Table3[Amount],,0)</f>
        <v>6527</v>
      </c>
    </row>
    <row r="10" spans="1:4" x14ac:dyDescent="0.25">
      <c r="A10" s="24" t="s">
        <v>109</v>
      </c>
      <c r="B10" s="25" t="s">
        <v>29</v>
      </c>
      <c r="C10" s="28">
        <v>2017</v>
      </c>
      <c r="D10" s="29" cm="1">
        <f t="array" ref="D10">_xlfn.XLOOKUP(B10 &amp;C10,Table3[Metric] &amp;Table3[Year],Table3[Amount],,0)</f>
        <v>1248</v>
      </c>
    </row>
    <row r="11" spans="1:4" x14ac:dyDescent="0.25">
      <c r="A11" s="24" t="s">
        <v>109</v>
      </c>
      <c r="B11" s="25" t="s">
        <v>29</v>
      </c>
      <c r="C11" s="28">
        <v>2018</v>
      </c>
      <c r="D11" s="29" cm="1">
        <f t="array" ref="D11">_xlfn.XLOOKUP(B11 &amp;C11,Table3[Metric] &amp;Table3[Year],Table3[Amount],,0)</f>
        <v>6434</v>
      </c>
    </row>
    <row r="12" spans="1:4" x14ac:dyDescent="0.25">
      <c r="A12" s="24" t="s">
        <v>30</v>
      </c>
      <c r="B12" s="25" t="s">
        <v>116</v>
      </c>
      <c r="C12" s="28">
        <v>2009</v>
      </c>
      <c r="D12" s="29" cm="1">
        <f t="array" ref="D12">_xlfn.XLOOKUP(B12 &amp;C12,Table3[Metric] &amp;Table3[Year],Table3[Amount],,0)</f>
        <v>48671</v>
      </c>
    </row>
    <row r="13" spans="1:4" x14ac:dyDescent="0.25">
      <c r="A13" s="24" t="s">
        <v>30</v>
      </c>
      <c r="B13" s="25" t="s">
        <v>116</v>
      </c>
      <c r="C13" s="28">
        <v>2010</v>
      </c>
      <c r="D13" s="29" cm="1">
        <f t="array" ref="D13">_xlfn.XLOOKUP(B13 &amp;C13,Table3[Metric] &amp;Table3[Year],Table3[Amount],,0)</f>
        <v>72921</v>
      </c>
    </row>
    <row r="14" spans="1:4" x14ac:dyDescent="0.25">
      <c r="A14" s="24" t="s">
        <v>30</v>
      </c>
      <c r="B14" s="25" t="s">
        <v>116</v>
      </c>
      <c r="C14" s="28">
        <v>2011</v>
      </c>
      <c r="D14" s="29" cm="1">
        <f t="array" ref="D14">_xlfn.XLOOKUP(B14 &amp;C14,Table3[Metric] &amp;Table3[Year],Table3[Amount],,0)</f>
        <v>79974</v>
      </c>
    </row>
    <row r="15" spans="1:4" x14ac:dyDescent="0.25">
      <c r="A15" s="24" t="s">
        <v>30</v>
      </c>
      <c r="B15" s="25" t="s">
        <v>116</v>
      </c>
      <c r="C15" s="28">
        <v>2012</v>
      </c>
      <c r="D15" s="29" cm="1">
        <f t="array" ref="D15">_xlfn.XLOOKUP(B15 &amp;C15,Table3[Metric] &amp;Table3[Year],Table3[Amount],,0)</f>
        <v>86174</v>
      </c>
    </row>
    <row r="16" spans="1:4" x14ac:dyDescent="0.25">
      <c r="A16" s="24" t="s">
        <v>30</v>
      </c>
      <c r="B16" s="25" t="s">
        <v>116</v>
      </c>
      <c r="C16" s="28">
        <v>2013</v>
      </c>
      <c r="D16" s="29" cm="1">
        <f t="array" ref="D16">_xlfn.XLOOKUP(B16 &amp;C16,Table3[Metric] &amp;Table3[Year],Table3[Amount],,0)</f>
        <v>90055</v>
      </c>
    </row>
    <row r="17" spans="1:4" x14ac:dyDescent="0.25">
      <c r="A17" s="24" t="s">
        <v>30</v>
      </c>
      <c r="B17" s="25" t="s">
        <v>116</v>
      </c>
      <c r="C17" s="28">
        <v>2014</v>
      </c>
      <c r="D17" s="29" cm="1">
        <f t="array" ref="D17">_xlfn.XLOOKUP(B17 &amp;C17,Table3[Metric] &amp;Table3[Year],Table3[Amount],,0)</f>
        <v>92023</v>
      </c>
    </row>
    <row r="18" spans="1:4" x14ac:dyDescent="0.25">
      <c r="A18" s="24" t="s">
        <v>30</v>
      </c>
      <c r="B18" s="25" t="s">
        <v>116</v>
      </c>
      <c r="C18" s="28">
        <v>2015</v>
      </c>
      <c r="D18" s="29" cm="1">
        <f t="array" ref="D18">_xlfn.XLOOKUP(B18 &amp;C18,Table3[Metric] &amp;Table3[Year],Table3[Amount],,0)</f>
        <v>89996</v>
      </c>
    </row>
    <row r="19" spans="1:4" x14ac:dyDescent="0.25">
      <c r="A19" s="24" t="s">
        <v>30</v>
      </c>
      <c r="B19" s="25" t="s">
        <v>116</v>
      </c>
      <c r="C19" s="28">
        <v>2016</v>
      </c>
      <c r="D19" s="29" cm="1">
        <f t="array" ref="D19">_xlfn.XLOOKUP(B19 &amp;C19,Table3[Metric] &amp;Table3[Year],Table3[Amount],,0)</f>
        <v>87270</v>
      </c>
    </row>
    <row r="20" spans="1:4" x14ac:dyDescent="0.25">
      <c r="A20" s="24" t="s">
        <v>30</v>
      </c>
      <c r="B20" s="25" t="s">
        <v>116</v>
      </c>
      <c r="C20" s="28">
        <v>2017</v>
      </c>
      <c r="D20" s="29" cm="1">
        <f t="array" ref="D20">_xlfn.XLOOKUP(B20 &amp;C20,Table3[Metric] &amp;Table3[Year],Table3[Amount],,0)</f>
        <v>87896</v>
      </c>
    </row>
    <row r="21" spans="1:4" x14ac:dyDescent="0.25">
      <c r="A21" s="24" t="s">
        <v>30</v>
      </c>
      <c r="B21" s="25" t="s">
        <v>116</v>
      </c>
      <c r="C21" s="28">
        <v>2018</v>
      </c>
      <c r="D21" s="29" cm="1">
        <f t="array" ref="D21">_xlfn.XLOOKUP(B21 &amp;C21,Table3[Metric] &amp;Table3[Year],Table3[Amount],,0)</f>
        <v>83216</v>
      </c>
    </row>
    <row r="22" spans="1:4" x14ac:dyDescent="0.25">
      <c r="A22" s="24" t="s">
        <v>108</v>
      </c>
      <c r="B22" s="25" t="s">
        <v>103</v>
      </c>
      <c r="C22" s="28">
        <v>2009</v>
      </c>
      <c r="D22" s="29" cm="1">
        <f t="array" ref="D22">_xlfn.XLOOKUP(B22 &amp;C22,Table3[Metric] &amp;Table3[Year],Table3[Amount],,0)</f>
        <v>2320</v>
      </c>
    </row>
    <row r="23" spans="1:4" x14ac:dyDescent="0.25">
      <c r="A23" s="24" t="s">
        <v>108</v>
      </c>
      <c r="B23" s="25" t="s">
        <v>103</v>
      </c>
      <c r="C23" s="28">
        <v>2010</v>
      </c>
      <c r="D23" s="29" cm="1">
        <f t="array" ref="D23">_xlfn.XLOOKUP(B23 &amp;C23,Table3[Metric] &amp;Table3[Year],Table3[Amount],,0)</f>
        <v>1496</v>
      </c>
    </row>
    <row r="24" spans="1:4" x14ac:dyDescent="0.25">
      <c r="A24" s="24" t="s">
        <v>108</v>
      </c>
      <c r="B24" s="25" t="s">
        <v>103</v>
      </c>
      <c r="C24" s="28">
        <v>2011</v>
      </c>
      <c r="D24" s="29" cm="1">
        <f t="array" ref="D24">_xlfn.XLOOKUP(B24 &amp;C24,Table3[Metric] &amp;Table3[Year],Table3[Amount],,0)</f>
        <v>4286</v>
      </c>
    </row>
    <row r="25" spans="1:4" x14ac:dyDescent="0.25">
      <c r="A25" s="24" t="s">
        <v>108</v>
      </c>
      <c r="B25" s="25" t="s">
        <v>103</v>
      </c>
      <c r="C25" s="28">
        <v>2012</v>
      </c>
      <c r="D25" s="29" cm="1">
        <f t="array" ref="D25">_xlfn.XLOOKUP(B25 &amp;C25,Table3[Metric] &amp;Table3[Year],Table3[Amount],,0)</f>
        <v>-4361</v>
      </c>
    </row>
    <row r="26" spans="1:4" x14ac:dyDescent="0.25">
      <c r="A26" s="24" t="s">
        <v>108</v>
      </c>
      <c r="B26" s="25" t="s">
        <v>103</v>
      </c>
      <c r="C26" s="28">
        <v>2013</v>
      </c>
      <c r="D26" s="29" cm="1">
        <f t="array" ref="D26">_xlfn.XLOOKUP(B26 &amp;C26,Table3[Metric] &amp;Table3[Year],Table3[Amount],,0)</f>
        <v>1972</v>
      </c>
    </row>
    <row r="27" spans="1:4" x14ac:dyDescent="0.25">
      <c r="A27" s="24" t="s">
        <v>108</v>
      </c>
      <c r="B27" s="25" t="s">
        <v>103</v>
      </c>
      <c r="C27" s="28">
        <v>2014</v>
      </c>
      <c r="D27" s="29" cm="1">
        <f t="array" ref="D27">_xlfn.XLOOKUP(B27 &amp;C27,Table3[Metric] &amp;Table3[Year],Table3[Amount],,0)</f>
        <v>-1456</v>
      </c>
    </row>
    <row r="28" spans="1:4" x14ac:dyDescent="0.25">
      <c r="A28" s="24" t="s">
        <v>108</v>
      </c>
      <c r="B28" s="25" t="s">
        <v>103</v>
      </c>
      <c r="C28" s="28">
        <v>2015</v>
      </c>
      <c r="D28" s="29" cm="1">
        <f t="array" ref="D28">_xlfn.XLOOKUP(B28 &amp;C28,Table3[Metric] &amp;Table3[Year],Table3[Amount],,0)</f>
        <v>-1649</v>
      </c>
    </row>
    <row r="29" spans="1:4" x14ac:dyDescent="0.25">
      <c r="A29" s="24" t="s">
        <v>108</v>
      </c>
      <c r="B29" s="25" t="s">
        <v>103</v>
      </c>
      <c r="C29" s="28">
        <v>2016</v>
      </c>
      <c r="D29" s="29" cm="1">
        <f t="array" ref="D29">_xlfn.XLOOKUP(B29 &amp;C29,Table3[Metric] &amp;Table3[Year],Table3[Amount],,0)</f>
        <v>1246</v>
      </c>
    </row>
    <row r="30" spans="1:4" x14ac:dyDescent="0.25">
      <c r="A30" s="24" t="s">
        <v>108</v>
      </c>
      <c r="B30" s="25" t="s">
        <v>103</v>
      </c>
      <c r="C30" s="28">
        <v>2017</v>
      </c>
      <c r="D30" s="29" cm="1">
        <f t="array" ref="D30">_xlfn.XLOOKUP(B30 &amp;C30,Table3[Metric] &amp;Table3[Year],Table3[Amount],,0)</f>
        <v>-2477</v>
      </c>
    </row>
    <row r="31" spans="1:4" x14ac:dyDescent="0.25">
      <c r="A31" s="26" t="s">
        <v>108</v>
      </c>
      <c r="B31" s="27" t="s">
        <v>103</v>
      </c>
      <c r="C31" s="30">
        <v>2018</v>
      </c>
      <c r="D31" s="31" cm="1">
        <f t="array" ref="D31">_xlfn.XLOOKUP(B31 &amp;C31,Table3[Metric] &amp;Table3[Year],Table3[Amount],,0)</f>
        <v>2945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C197-5C83-4198-959C-F24717ECCF43}">
  <dimension ref="A1:Y4"/>
  <sheetViews>
    <sheetView showGridLines="0" workbookViewId="0">
      <selection activeCell="AA11" sqref="AA11"/>
    </sheetView>
  </sheetViews>
  <sheetFormatPr defaultRowHeight="15" x14ac:dyDescent="0.25"/>
  <sheetData>
    <row r="1" spans="1:25" x14ac:dyDescent="0.25">
      <c r="A1" s="32" t="s">
        <v>119</v>
      </c>
      <c r="B1" s="33"/>
      <c r="C1" s="33"/>
      <c r="D1" s="33"/>
      <c r="E1" s="33"/>
      <c r="F1" s="33"/>
      <c r="G1" s="33"/>
      <c r="H1" s="33"/>
      <c r="I1" s="33"/>
      <c r="J1" s="33"/>
      <c r="K1" s="33"/>
      <c r="L1" s="33"/>
      <c r="M1" s="33"/>
      <c r="N1" s="33"/>
      <c r="O1" s="33"/>
      <c r="P1" s="33"/>
      <c r="Q1" s="33"/>
      <c r="R1" s="33"/>
      <c r="S1" s="33"/>
      <c r="T1" s="33"/>
      <c r="U1" s="33"/>
      <c r="V1" s="33"/>
      <c r="W1" s="33"/>
      <c r="X1" s="33"/>
      <c r="Y1" s="33"/>
    </row>
    <row r="2" spans="1:25" x14ac:dyDescent="0.25">
      <c r="A2" s="33"/>
      <c r="B2" s="33"/>
      <c r="C2" s="33"/>
      <c r="D2" s="33"/>
      <c r="E2" s="33"/>
      <c r="F2" s="33"/>
      <c r="G2" s="33"/>
      <c r="H2" s="33"/>
      <c r="I2" s="33"/>
      <c r="J2" s="33"/>
      <c r="K2" s="33"/>
      <c r="L2" s="33"/>
      <c r="M2" s="33"/>
      <c r="N2" s="33"/>
      <c r="O2" s="33"/>
      <c r="P2" s="33"/>
      <c r="Q2" s="33"/>
      <c r="R2" s="33"/>
      <c r="S2" s="33"/>
      <c r="T2" s="33"/>
      <c r="U2" s="33"/>
      <c r="V2" s="33"/>
      <c r="W2" s="33"/>
      <c r="X2" s="33"/>
      <c r="Y2" s="33"/>
    </row>
    <row r="3" spans="1:25" x14ac:dyDescent="0.25">
      <c r="A3" s="33"/>
      <c r="B3" s="33"/>
      <c r="C3" s="33"/>
      <c r="D3" s="33"/>
      <c r="E3" s="33"/>
      <c r="F3" s="33"/>
      <c r="G3" s="33"/>
      <c r="H3" s="33"/>
      <c r="I3" s="33"/>
      <c r="J3" s="33"/>
      <c r="K3" s="33"/>
      <c r="L3" s="33"/>
      <c r="M3" s="33"/>
      <c r="N3" s="33"/>
      <c r="O3" s="33"/>
      <c r="P3" s="33"/>
      <c r="Q3" s="33"/>
      <c r="R3" s="33"/>
      <c r="S3" s="33"/>
      <c r="T3" s="33"/>
      <c r="U3" s="33"/>
      <c r="V3" s="33"/>
      <c r="W3" s="33"/>
      <c r="X3" s="33"/>
      <c r="Y3" s="33"/>
    </row>
    <row r="4" spans="1:25" x14ac:dyDescent="0.25">
      <c r="A4" s="33"/>
      <c r="B4" s="33"/>
      <c r="C4" s="33"/>
      <c r="D4" s="33"/>
      <c r="E4" s="33"/>
      <c r="F4" s="33"/>
      <c r="G4" s="33"/>
      <c r="H4" s="33"/>
      <c r="I4" s="33"/>
      <c r="J4" s="33"/>
      <c r="K4" s="33"/>
      <c r="L4" s="33"/>
      <c r="M4" s="33"/>
      <c r="N4" s="33"/>
      <c r="O4" s="33"/>
      <c r="P4" s="33"/>
      <c r="Q4" s="33"/>
      <c r="R4" s="33"/>
      <c r="S4" s="33"/>
      <c r="T4" s="33"/>
      <c r="U4" s="33"/>
      <c r="V4" s="33"/>
      <c r="W4" s="33"/>
      <c r="X4" s="33"/>
      <c r="Y4" s="33"/>
    </row>
  </sheetData>
  <mergeCells count="1">
    <mergeCell ref="A1: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COCA COLA CO</vt:lpstr>
      <vt:lpstr>Pivot Table 1(Viewing Only)</vt:lpstr>
      <vt:lpstr>Table Format</vt:lpstr>
      <vt:lpstr>Overall_Data</vt:lpstr>
      <vt:lpstr>Negative_Cash_Flow</vt:lpstr>
      <vt:lpstr>Main_Table</vt:lpstr>
      <vt:lpstr>Dashboard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Flassbeck</dc:creator>
  <cp:keywords/>
  <dc:description/>
  <cp:lastModifiedBy>ryan chen</cp:lastModifiedBy>
  <dcterms:created xsi:type="dcterms:W3CDTF">2016-07-27T10:12:29Z</dcterms:created>
  <dcterms:modified xsi:type="dcterms:W3CDTF">2026-09-09T20:13:54Z</dcterms:modified>
  <cp:category/>
</cp:coreProperties>
</file>